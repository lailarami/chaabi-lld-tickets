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cuments\Gestion des tickets\"/>
    </mc:Choice>
  </mc:AlternateContent>
  <xr:revisionPtr revIDLastSave="0" documentId="13_ncr:1_{58378124-A950-4776-8786-6BD757939F16}" xr6:coauthVersionLast="47" xr6:coauthVersionMax="47" xr10:uidLastSave="{00000000-0000-0000-0000-000000000000}"/>
  <bookViews>
    <workbookView xWindow="-110" yWindow="-110" windowWidth="19420" windowHeight="10300" tabRatio="851" firstSheet="1" activeTab="2" xr2:uid="{00000000-000D-0000-FFFF-FFFF00000000}"/>
  </bookViews>
  <sheets>
    <sheet name="Tickets_012025" sheetId="1" r:id="rId1"/>
    <sheet name="Feuil3" sheetId="4" r:id="rId2"/>
    <sheet name="Disponibilité de service" sheetId="5" r:id="rId3"/>
    <sheet name="Rétablissement-disponibilité" sheetId="6" r:id="rId4"/>
    <sheet name="Nbrdemandes par typologie" sheetId="7" r:id="rId5"/>
    <sheet name="Nbrdemandes par Catégories" sheetId="8" r:id="rId6"/>
    <sheet name="Stat VUL 11" sheetId="9" r:id="rId7"/>
    <sheet name="Feuil2" sheetId="3" r:id="rId8"/>
  </sheets>
  <definedNames>
    <definedName name="_xlnm._FilterDatabase" localSheetId="6" hidden="1">'Stat VUL 11'!$A$1:$F$47</definedName>
    <definedName name="_xlnm._FilterDatabase" localSheetId="0" hidden="1">Tickets_012025!$A$1:$Q$191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9" l="1"/>
  <c r="B47" i="9"/>
  <c r="E44" i="9"/>
  <c r="E18" i="9"/>
  <c r="D34" i="8"/>
  <c r="C4" i="6"/>
  <c r="C5" i="6"/>
  <c r="B10" i="6"/>
  <c r="C4" i="5"/>
  <c r="E47" i="9" l="1"/>
</calcChain>
</file>

<file path=xl/sharedStrings.xml><?xml version="1.0" encoding="utf-8"?>
<sst xmlns="http://schemas.openxmlformats.org/spreadsheetml/2006/main" count="2150" uniqueCount="507">
  <si>
    <t>Objet ticket</t>
  </si>
  <si>
    <t>Site</t>
  </si>
  <si>
    <t>Priorité</t>
  </si>
  <si>
    <t>Description Ticket</t>
  </si>
  <si>
    <t>Date de création</t>
  </si>
  <si>
    <t>Statut</t>
  </si>
  <si>
    <t>N° Ticket</t>
  </si>
  <si>
    <t>Créateur Ticket</t>
  </si>
  <si>
    <t>Ticket Traité par</t>
  </si>
  <si>
    <t>Typologie ticket</t>
  </si>
  <si>
    <t>Urgence</t>
  </si>
  <si>
    <t>Durée Ticket</t>
  </si>
  <si>
    <t>Duée type</t>
  </si>
  <si>
    <t>Demandeur Ticket</t>
  </si>
  <si>
    <t>Date Ticket</t>
  </si>
  <si>
    <t>Impact incident</t>
  </si>
  <si>
    <t>PB IMPRIMANTE LIVRAISON</t>
  </si>
  <si>
    <t>SIÈGE CHAABI LLD</t>
  </si>
  <si>
    <t>CRITIQUE</t>
  </si>
  <si>
    <t>TONER</t>
  </si>
  <si>
    <t>EN COURS DE TRAITEMENT</t>
  </si>
  <si>
    <t>AELBAKHIL</t>
  </si>
  <si>
    <t>POCHETTES DOC VN</t>
  </si>
  <si>
    <t>NORMALE</t>
  </si>
  <si>
    <t>J'AI CONSTATÉ QU'IL RESTE 3 LOT DONC 150</t>
  </si>
  <si>
    <t>INCIDENT IMPRIMANTE COULEUR ( TEHCNIQUE )</t>
  </si>
  <si>
    <t>CLÔTURÉ</t>
  </si>
  <si>
    <t>AFALIH</t>
  </si>
  <si>
    <t>AMINE FALIH</t>
  </si>
  <si>
    <t>MATERIEL</t>
  </si>
  <si>
    <t>NON URGENT</t>
  </si>
  <si>
    <t>PAS D'IMPACTE SUR L'ARRÊT DE SERVICE</t>
  </si>
  <si>
    <t>INCIDENT CABLE RÉSEAU ( AFARIH )</t>
  </si>
  <si>
    <t>RÉCEPTION MATÉRIEL - CHECKPOINT ( AMINE FALIH )</t>
  </si>
  <si>
    <t>INFRASTRUCTURE IT</t>
  </si>
  <si>
    <t>INCIDENT DE LENTEUR OUTLOOK ( CHARGÉ IMMOBILISATION )</t>
  </si>
  <si>
    <t>INCIDENT D'ENVOI DE PJ ( HASNA BOUJMAD )</t>
  </si>
  <si>
    <t>DEMANDE DE RAJOUT DE RACCOURCIE FORMULAIRE ( HIND EL FOUISSI )</t>
  </si>
  <si>
    <t>INCIDENT DE LOG NARSA ( ADIL DOUMARI )</t>
  </si>
  <si>
    <t>INCIDENT DE RÉCEPTION DES EMAILS ( DG )</t>
  </si>
  <si>
    <t>INCIDENT DE RECHERCHE DES EMAILS ( NADIA WATIK )</t>
  </si>
  <si>
    <t>INCIDENT D'AUTHENTIFICATION CISCO FINESSE ( CONTACT2 )</t>
  </si>
  <si>
    <t>INCIDENT D'ACCÈS INTERNET ( FATIMA ZAHRA CHAKROUN )</t>
  </si>
  <si>
    <t>INCIDENT DE DÉMARRAGE DE POSTE ( MAJIDA EL BOUKRI )</t>
  </si>
  <si>
    <t>RÉCEPTION ET BLACK LISTE D'UN SPAM ( MOHAMED BENALI )</t>
  </si>
  <si>
    <t>INCIDENT OUTLOOK ( MAJIDA EL BOUKRI )</t>
  </si>
  <si>
    <t>DEMANDE FOURNITURE : CHEMISE DES AO ( WAFAA SOUKRI )</t>
  </si>
  <si>
    <t>INFRASTRUCTURE MG</t>
  </si>
  <si>
    <t>INCIDENT DE RÉCEPTION DES EMAILS ( MAJIDA EL BOUKRI )</t>
  </si>
  <si>
    <t>INCIDENT CABLE RÉSEAU ( MEHDI BOUGHLAM )</t>
  </si>
  <si>
    <t>INCIDENT OUTLOOK ( HAJAR AZZM )</t>
  </si>
  <si>
    <t>INCIDENT D'ACCÈS TSE ( MEHDI BOUGHLAM )</t>
  </si>
  <si>
    <t>PROBLÈME DE LA POMPE (SAMRANI)</t>
  </si>
  <si>
    <t>SAMRANI</t>
  </si>
  <si>
    <t>RÉPARATION D'ORDINATEUR +FORMATAGE DISQUE (KGHALI)</t>
  </si>
  <si>
    <t>PROBLÈME D'AFFICHAGE CALENDRIER SUR OUTLOOK (HAZZAM)</t>
  </si>
  <si>
    <t>PROBLÈME RÉSEAU (SBOURASS)</t>
  </si>
  <si>
    <t>PROBLÈME D'ALIMENTATION D'ÉCRAN (TARIK)</t>
  </si>
  <si>
    <t>CHANGEMENT DE L'ORDINATEUR APRÈS LA RÉPARATION (KGHALI)</t>
  </si>
  <si>
    <t>AFFECTATION DOSSIER PARTAGER DAF-DT SUR BUREAU (SELGHIOUANE)</t>
  </si>
  <si>
    <t>TONNER IMPRIMANTE LIVRAISON</t>
  </si>
  <si>
    <t>MISE A JOUR POUR TOUT LES POSTES (AHARI)</t>
  </si>
  <si>
    <t>BOITE OUTLOOK PLEIN (KBERRADA)</t>
  </si>
  <si>
    <t>PROBLÈME D'ADAPTATEUR RÉSEAU (MKHALOUDI)</t>
  </si>
  <si>
    <t>ARCHIVAGE OUTLOOK (AMONADI)</t>
  </si>
  <si>
    <t>PROBLÈME DE L'ENVOIE DES MAIL BOITE PLEIN (YKADDARA)</t>
  </si>
  <si>
    <t>PROBLÈME D'ARCHIVAGE OUTLOOK (AOIRDI)</t>
  </si>
  <si>
    <t>PROBLÈME DE L'ENVOIE DES EMAILS (YTAFALLOUST)</t>
  </si>
  <si>
    <t>RÉPARATION DE POSTE +RÉSOLUTION DE PROBLÈME DISQUE AINSI QUE L'INSTALLATION DE WINDOWS 11 (KGHALI)</t>
  </si>
  <si>
    <t>AFFECTATION DE POSTE SWAP (KGHALI)</t>
  </si>
  <si>
    <t>PROBLÈME DISQUE DUR (KGHALI)</t>
  </si>
  <si>
    <t>PROBLÈME DÉMARRAGE D'ORDINATEUR (KGHALI)</t>
  </si>
  <si>
    <t>CHANGEMENT DE CLAVIER (KCHAABI)</t>
  </si>
  <si>
    <t>PROBLÈME DÉMARRAGE D'ORDINATEUR (KCHAABI)</t>
  </si>
  <si>
    <t>PROBLÈME RÉSEAU IP INVALIDE (AOIRDI)</t>
  </si>
  <si>
    <t>CHANGEMENT DE TONER IMPRIMANTE ÉTAGE (AHARI)</t>
  </si>
  <si>
    <t>AFFECTATION DE CODE L'IMPRIMANTE (AGENT VO)</t>
  </si>
  <si>
    <t>INSTALLATION DE NOUVEAU FIRMWARE  SUE L'IMPRIMANTE COULEUR (SAMRANI)</t>
  </si>
  <si>
    <t>CHANGEMENT DE TONER IMPRIMANTE DAF (MMARDI)</t>
  </si>
  <si>
    <t>LA RÉCUPÉRATION DES ARCHIVES (NWATIK)</t>
  </si>
  <si>
    <t>PROBLÈME DE LA RECHERCHE DES ANCIENS EMAIL (NWATIK)</t>
  </si>
  <si>
    <t>PROBLÈME D'OUVERTURE OUTLOOK (MELBOURKI)</t>
  </si>
  <si>
    <t>CRÉATION DE BON DE COMMANDE (AHARI)</t>
  </si>
  <si>
    <t>RÉPARATION DE POSTE + INSTALLATION DE WINDOWS 11 (ACHADLI)</t>
  </si>
  <si>
    <t>RÉPARATION DE POSTE FICHE USB N'EST PAS FONCTIONNELLE (AMOUSSAID)</t>
  </si>
  <si>
    <t>PRÉPARATION DE LA FICHE D'INVENTAIRE 2024 (AHARI)</t>
  </si>
  <si>
    <t>PROBLÈME DE LA RELATION D'APPROBATION (AFARIH)</t>
  </si>
  <si>
    <t>RÉPARATION + PRÉPARATION DE POSTE  (ACHADLI)</t>
  </si>
  <si>
    <t>FOURNITURE DE BUREAU (AFARIH)</t>
  </si>
  <si>
    <t>PROBLÈME D'IMPRIMANTE COULEUR N'EST PAS FONCTIONNELLE (MELBOURKI)</t>
  </si>
  <si>
    <t>RÉPARATION D'ORDINATEUR +FORMATAGE (ACHADLI)</t>
  </si>
  <si>
    <t>ARCHIVAGE OUTLOOK (FBELKHROUF)</t>
  </si>
  <si>
    <t>NETTOYAGE EST MISE A JOUR D'ORDINATEUR (AMOUSSAID)</t>
  </si>
  <si>
    <t>PROBLÈME D2MARRAGE DE LAPTOP (AMAHBOUB)</t>
  </si>
  <si>
    <t>PROBLÈME D'ORDINATEUR TRÈS LENT (YTAFALLOUST)</t>
  </si>
  <si>
    <t>CONFIGURATION SAGE (AMOUSSAID)</t>
  </si>
  <si>
    <t>Merci de trouver en PJ la liste des véhicules disponible à la vente.</t>
  </si>
  <si>
    <t>IBABA</t>
  </si>
  <si>
    <t>ARECHDAOUI</t>
  </si>
  <si>
    <t>SMS VO</t>
  </si>
  <si>
    <t>Prière de me communiquer le rapport des appels du mois de décembre</t>
  </si>
  <si>
    <t>ABOUMAHDI</t>
  </si>
  <si>
    <t>Prière de déposer la facture REGION TANGER TETOUAN AL HOCIEMA DEC 2024</t>
  </si>
  <si>
    <t xml:space="preserve">TYounouss </t>
  </si>
  <si>
    <t>Amélioration workflow factures fournisseur</t>
  </si>
  <si>
    <t>Test initial application convoyage sur tablette</t>
  </si>
  <si>
    <t>AFARIH</t>
  </si>
  <si>
    <t>Chaabilldocaz : Problème caution</t>
  </si>
  <si>
    <t>créer une session LOCPRO pour l’agent CRC Mlle OUMAIMA LAFDOULI</t>
  </si>
  <si>
    <t>AOIRDI</t>
  </si>
  <si>
    <t>Accès à ONEBASE est bloqué</t>
  </si>
  <si>
    <t>ZAOUNI</t>
  </si>
  <si>
    <t>SELGHIOUAN</t>
  </si>
  <si>
    <t>GMESK</t>
  </si>
  <si>
    <t>INCIDENT NON RECEPTION DES EMAIL ( NAWAL CHARIFI )</t>
  </si>
  <si>
    <t>INCIDENT POSTE ( NAWAL CHARIFI )</t>
  </si>
  <si>
    <t>DEMANDE LICENCE SAGE ( AMINE FALIH )</t>
  </si>
  <si>
    <t>BLACK LISTE SPAM ( AMINE FALIH )</t>
  </si>
  <si>
    <t>TEST ASTREINTE</t>
  </si>
  <si>
    <t>CHANGEMENT ASTREINTE</t>
  </si>
  <si>
    <t>INCIDENT IMPRESSION ( IMANE ZAIDANE )</t>
  </si>
  <si>
    <t>COMMANDE TICKET ( SI )</t>
  </si>
  <si>
    <t>TRANSFERT DES EMAILS ( ZAKARIA AOUNI )</t>
  </si>
  <si>
    <t>MISE EN PLACE DU MESSAGE DE CONGES ( ZAKARIA AOUNI )</t>
  </si>
  <si>
    <t>DEMANDE DATE LIVRAISON COMMVAULT ( AMINE FALIH )</t>
  </si>
  <si>
    <t>INCIDENT D'IMPRESSION LIVRAISON ( AYOUB AIT BAKHIL )</t>
  </si>
  <si>
    <t>DEMANDE 3 CLE USB ( IMANE ZAIDANE )</t>
  </si>
  <si>
    <t>INCIDENT DE RECEPTION D'EMAIL CHAABIOCCAZ ( AMINE FALIH )</t>
  </si>
  <si>
    <t>PLANNIFICATION REUNION NUCLEON ( AMINE FALIH )</t>
  </si>
  <si>
    <t>INCIDENT GADGET HISTORIQUE FINESSE ( CRC )</t>
  </si>
  <si>
    <t>DEMANDE LOGS SWITCHS ( AMINE FALIH )</t>
  </si>
  <si>
    <t>REUNION CYBERFORCE ( AMINE FALIH )</t>
  </si>
  <si>
    <t>INCIDENT INDEXATION DES EMAIL ( TOUTLEMONDE )</t>
  </si>
  <si>
    <t>ASSISTANCE COMPRESSION FICHIER ( HASNA BOUJMAD )</t>
  </si>
  <si>
    <t>INCIDENT CISCO ( NADIA WATIK )</t>
  </si>
  <si>
    <t>INCIDENT OUTLOOK ( ADIL DOUMARI )</t>
  </si>
  <si>
    <t>INCIDENT RECHERCHE EMAILS ( KAOUTAR CHAABI )</t>
  </si>
  <si>
    <t>INCIDENT D'ACCES AGIRH ( YOUNESS TAFALLOUST )</t>
  </si>
  <si>
    <t>INCIDENT D'ACCES AGIRH ( AHMAD MOUNADI )</t>
  </si>
  <si>
    <t>RETIRER ( IMANE AGNAOU ) DU GROUPE COMMERCIAL</t>
  </si>
  <si>
    <t>INVENTAIRE SI ( SI )</t>
  </si>
  <si>
    <t>INSTALATION CATALYST C9200 ( AMINE FALIH )</t>
  </si>
  <si>
    <t>CONFIGURATION CATALYST C9200 ( AMINE FALIH )</t>
  </si>
  <si>
    <t>DEMANDE DEVIS POSTE ( NAWAL CHARIFI )</t>
  </si>
  <si>
    <t>DEMANDE DEVIS 10 POSTE DESK ( AMINE FALIH )</t>
  </si>
  <si>
    <t>DEMANDE DEVIS LICENCE VMWARE ( AMINE FALIH )</t>
  </si>
  <si>
    <t>CREATION PRESENTATION EXTENSION DES RESSOURCES IT ( AMINE FALIH )</t>
  </si>
  <si>
    <t>EMAIL DE SENSABILISATION A LA SECURITE DE NOS SYSTEMES ( AMINE FALIH )</t>
  </si>
  <si>
    <t>RESOLUTION INCIDENT HA DU FW FORTINET ( AMINE FALIH )</t>
  </si>
  <si>
    <t>DEMANDE MISE A JOUR CONTRAT DE MAINTENANCE INTELCOM ( AMINE FALIH )</t>
  </si>
  <si>
    <t>DEMANDE PLANNING DES ASTREINTES 2025 ( MAHMOUD EL FADIL )</t>
  </si>
  <si>
    <t>PROBLEME VPN ( EXPERTFLOW )</t>
  </si>
  <si>
    <t>Date</t>
  </si>
  <si>
    <t>Vulnérabilité</t>
  </si>
  <si>
    <t>Produit</t>
  </si>
  <si>
    <t>Fournisseur</t>
  </si>
  <si>
    <t>CHAABI LLD</t>
  </si>
  <si>
    <t>VMware Aria Operations Networks</t>
  </si>
  <si>
    <t>Aria Operations Networks</t>
  </si>
  <si>
    <t>VMware</t>
  </si>
  <si>
    <t>Oui</t>
  </si>
  <si>
    <t>Google Chrome</t>
  </si>
  <si>
    <t>Chrome</t>
  </si>
  <si>
    <t>Google</t>
  </si>
  <si>
    <t>Imprimantes Canon</t>
  </si>
  <si>
    <t>Imprimantes</t>
  </si>
  <si>
    <t>Canon</t>
  </si>
  <si>
    <t>Non</t>
  </si>
  <si>
    <t>Cacti</t>
  </si>
  <si>
    <t>Logiciel de surveillance réseau</t>
  </si>
  <si>
    <t>BIND9</t>
  </si>
  <si>
    <t>Serveur DNS</t>
  </si>
  <si>
    <t>ISC</t>
  </si>
  <si>
    <t>Routeurs D-Link DSL-3788</t>
  </si>
  <si>
    <t>Routeur DSL-3788</t>
  </si>
  <si>
    <t>D-Link</t>
  </si>
  <si>
    <t>TeamViewer</t>
  </si>
  <si>
    <t>Logiciel de contrôle à distance</t>
  </si>
  <si>
    <t>KSMBD</t>
  </si>
  <si>
    <t>Serveur SMB pour Linux</t>
  </si>
  <si>
    <t>Linux Kernel</t>
  </si>
  <si>
    <t>VMware Avi Load Balancer</t>
  </si>
  <si>
    <t>Load Balancer</t>
  </si>
  <si>
    <t>Produits GitHub</t>
  </si>
  <si>
    <t>Plateforme de développement</t>
  </si>
  <si>
    <t>GitHub</t>
  </si>
  <si>
    <t>non</t>
  </si>
  <si>
    <t>Produits Apple</t>
  </si>
  <si>
    <t>Systèmes iOS, macOS, iPadOS</t>
  </si>
  <si>
    <t>Apple</t>
  </si>
  <si>
    <t>oui</t>
  </si>
  <si>
    <t>Juniper Secure Analytics</t>
  </si>
  <si>
    <t>Solution de sécurité</t>
  </si>
  <si>
    <t>Juniper</t>
  </si>
  <si>
    <t>phpMyAdmin</t>
  </si>
  <si>
    <t>Interface de gestion MySQL</t>
  </si>
  <si>
    <t>QNAP Hybrid Backup Sync</t>
  </si>
  <si>
    <t>Logiciel de sauvegarde</t>
  </si>
  <si>
    <t>QNAP</t>
  </si>
  <si>
    <t>Node.js</t>
  </si>
  <si>
    <t>Environnement JavaScript</t>
  </si>
  <si>
    <t>OpenJS Foundation</t>
  </si>
  <si>
    <t>Thème "Bootstrap Ultimate"</t>
  </si>
  <si>
    <t>Thème WordPress</t>
  </si>
  <si>
    <t>Bootstrap Ultimate</t>
  </si>
  <si>
    <t>Produits HP</t>
  </si>
  <si>
    <t>Matériel informatique</t>
  </si>
  <si>
    <t>HP</t>
  </si>
  <si>
    <t>GitLab</t>
  </si>
  <si>
    <t>Plateforme DevOps</t>
  </si>
  <si>
    <t>Navigateur Web</t>
  </si>
  <si>
    <t>SonicWall</t>
  </si>
  <si>
    <t>Matériel et logiciels de sécurité</t>
  </si>
  <si>
    <t>Cisco</t>
  </si>
  <si>
    <t>Équipements réseau</t>
  </si>
  <si>
    <t>Atlassian</t>
  </si>
  <si>
    <t>Outils de collaboration (Jira, Confluence)</t>
  </si>
  <si>
    <t>Mises à jour Oracle</t>
  </si>
  <si>
    <t>Bases de données et logiciels</t>
  </si>
  <si>
    <t>Oracle</t>
  </si>
  <si>
    <t>Elastic</t>
  </si>
  <si>
    <t>Moteur de recherche et d'analyse</t>
  </si>
  <si>
    <t>7-Zip</t>
  </si>
  <si>
    <t>Logiciel de compression</t>
  </si>
  <si>
    <t>F5 Traffix SDC</t>
  </si>
  <si>
    <t>Gestion du trafic réseau</t>
  </si>
  <si>
    <t>F5 Networks</t>
  </si>
  <si>
    <t>NVIDIA</t>
  </si>
  <si>
    <t>Cartes graphiques et logiciels</t>
  </si>
  <si>
    <t>Schneider Electric</t>
  </si>
  <si>
    <t>Produits industriels</t>
  </si>
  <si>
    <t>HPE Aruba Networking</t>
  </si>
  <si>
    <t>Solutions réseau</t>
  </si>
  <si>
    <t>HPE Aruba</t>
  </si>
  <si>
    <t>Serveurs Rsync</t>
  </si>
  <si>
    <t>Outil de synchronisation</t>
  </si>
  <si>
    <t>Rsync</t>
  </si>
  <si>
    <t>Ivanti</t>
  </si>
  <si>
    <t>Solutions IT</t>
  </si>
  <si>
    <t>Zoom</t>
  </si>
  <si>
    <t>Application de visioconférence</t>
  </si>
  <si>
    <t>Adobe</t>
  </si>
  <si>
    <t>Suite logicielle (Photoshop, Acrobat, etc.)</t>
  </si>
  <si>
    <t>SAP</t>
  </si>
  <si>
    <t>Solutions ERP</t>
  </si>
  <si>
    <t>Fortinet</t>
  </si>
  <si>
    <t>Microsoft Patch Tuesday</t>
  </si>
  <si>
    <t>Windows, Office, Azure, Edge</t>
  </si>
  <si>
    <t>Microsoft</t>
  </si>
  <si>
    <t>VMware Aria Automation</t>
  </si>
  <si>
    <t>Automatisation IT</t>
  </si>
  <si>
    <t>Plugin "GiveWP"</t>
  </si>
  <si>
    <t>Plugin WordPress</t>
  </si>
  <si>
    <t>WordPress</t>
  </si>
  <si>
    <t>Routeurs Netgear</t>
  </si>
  <si>
    <t>Routeurs</t>
  </si>
  <si>
    <t>Netgear</t>
  </si>
  <si>
    <t>Fancy Product Designer</t>
  </si>
  <si>
    <t>Palo Alto Networks Expedition</t>
  </si>
  <si>
    <t>Solution de migration de configuration</t>
  </si>
  <si>
    <t>Palo Alto Networks</t>
  </si>
  <si>
    <t>Ivanti Connect Secure</t>
  </si>
  <si>
    <t>Solution de VPN sécurisé</t>
  </si>
  <si>
    <t>Splunk</t>
  </si>
  <si>
    <t>Analyse de logs et monitoring</t>
  </si>
  <si>
    <t>Joomla</t>
  </si>
  <si>
    <t>CMS</t>
  </si>
  <si>
    <t>SonicWall SonicOS</t>
  </si>
  <si>
    <t>Système d'exploitation des firewalls</t>
  </si>
  <si>
    <t>Mozilla Firefox</t>
  </si>
  <si>
    <t>Mozilla</t>
  </si>
  <si>
    <t>MediaTek Chipsets</t>
  </si>
  <si>
    <t>Processeurs mobiles</t>
  </si>
  <si>
    <t>MediaTek</t>
  </si>
  <si>
    <t>Redis</t>
  </si>
  <si>
    <t>Base de données en mémoire</t>
  </si>
  <si>
    <t>Android</t>
  </si>
  <si>
    <t>Système d’exploitation mobile</t>
  </si>
  <si>
    <t>Moxa</t>
  </si>
  <si>
    <t>Dell OpenManage Server Administrator</t>
  </si>
  <si>
    <t>Gestion des serveurs</t>
  </si>
  <si>
    <t>Dell</t>
  </si>
  <si>
    <t>Plugin "UpdraftPlus Backup &amp; Migration"</t>
  </si>
  <si>
    <t>Routeurs ASUS</t>
  </si>
  <si>
    <t>ASUS</t>
  </si>
  <si>
    <t>MHAZM</t>
  </si>
  <si>
    <t>Problème dotation de pneu</t>
  </si>
  <si>
    <t xml:space="preserve">M. OUSSAMA, agent CRC, a été affecté à la Direction Technique en tant que TSAV. </t>
  </si>
  <si>
    <t>désaffecter le VH 50530-A-10</t>
  </si>
  <si>
    <t>RACHBAK</t>
  </si>
  <si>
    <t>MBENALI</t>
  </si>
  <si>
    <t>Taux de performance du changement de Hamza avec Naim</t>
  </si>
  <si>
    <t>Taux de progrès ou d’avancement du projet</t>
  </si>
  <si>
    <t>Taux de réduction des risques</t>
  </si>
  <si>
    <t>ACHAT MG</t>
  </si>
  <si>
    <t>RÉSEAU</t>
  </si>
  <si>
    <t>FOURNITURE</t>
  </si>
  <si>
    <t>OUTLOOK</t>
  </si>
  <si>
    <t>INCIDENT CABLE RÉSEAU</t>
  </si>
  <si>
    <t>RÉCEPTION MATÉRIEL - CHECKPOINT</t>
  </si>
  <si>
    <t>CHARGÉ IMMOBILISATION</t>
  </si>
  <si>
    <t>INCIDENT DE LENTEUR OUTLOOK</t>
  </si>
  <si>
    <t>INCIDENT D'ENVOI DE PJ</t>
  </si>
  <si>
    <t>HASNA BOUJMAD</t>
  </si>
  <si>
    <t>DEMANDE DE RAJOUT DE RACCOURCIE FORMULAIRE</t>
  </si>
  <si>
    <t>HIND EL FOUISSI</t>
  </si>
  <si>
    <t>INCIDENT DE LOG NARSA</t>
  </si>
  <si>
    <t>ADIL DOUMARI</t>
  </si>
  <si>
    <t>INCIDENT DE RÉCEPTION DES EMAILS</t>
  </si>
  <si>
    <t>DG</t>
  </si>
  <si>
    <t>INCIDENT DE RECHERCHE DES EMAILS</t>
  </si>
  <si>
    <t>NADIA WATIK</t>
  </si>
  <si>
    <t>INCIDENT D'AUTHENTIFICATION CISCO FINESSE</t>
  </si>
  <si>
    <t>CONTACT2</t>
  </si>
  <si>
    <t>INCIDENT D'ACCÈS INTERNET</t>
  </si>
  <si>
    <t>FATIMA ZAHRA CHAKROUN</t>
  </si>
  <si>
    <t>MAJIDA EL BOUKRI</t>
  </si>
  <si>
    <t>INCIDENT DE DÉMARRAGE DE POSTE</t>
  </si>
  <si>
    <t>MOHAMED BENALI</t>
  </si>
  <si>
    <t>RÉCEPTION ET BLACK LISTE D'UN SPAM</t>
  </si>
  <si>
    <t>INCIDENT OUTLOOK</t>
  </si>
  <si>
    <t>DEMANDE FOURNITURE : CHEMISE DES AO</t>
  </si>
  <si>
    <t>WAFAA SOUKRI</t>
  </si>
  <si>
    <t xml:space="preserve"> MEHDI BOUGHLAM</t>
  </si>
  <si>
    <t>HAJAR AZZM</t>
  </si>
  <si>
    <t>INCIDENT D'ACCÈS TSE</t>
  </si>
  <si>
    <t>MEHDI BOUGHLAM</t>
  </si>
  <si>
    <t>RÉPARATION D'ORDINATEUR +FORMATAGE DISQUE</t>
  </si>
  <si>
    <t>KGHALI</t>
  </si>
  <si>
    <t>PROBLÉME D'AFFICHAGE CALENDRIER SUR OUTLOOK</t>
  </si>
  <si>
    <t>HAZZAM</t>
  </si>
  <si>
    <t>PROBLÉME RÉSEAU</t>
  </si>
  <si>
    <t>SBOURASS</t>
  </si>
  <si>
    <t>PROBLÈME D'ALIMENTATION D'ÉCRAN</t>
  </si>
  <si>
    <t>TARIK</t>
  </si>
  <si>
    <t>CHANGEMENT DE L'ORDINATEUR APRÈS LA RÉPARATION</t>
  </si>
  <si>
    <t>AFFECTATION DOSSIER PARTAGER DAF-DT SUR BUREAU</t>
  </si>
  <si>
    <t>SELGHIOUANE</t>
  </si>
  <si>
    <t>MISE A JOUR POUR TOUT LES POSTES</t>
  </si>
  <si>
    <t>AHARI</t>
  </si>
  <si>
    <t>BOITE OUTLOOK PLEIN</t>
  </si>
  <si>
    <t>KBERRADA</t>
  </si>
  <si>
    <t>PROBLÈME D'ADAPTATEUR RÉSEAU</t>
  </si>
  <si>
    <t>MKHALOUDI</t>
  </si>
  <si>
    <t>ARCHIVAGE OUTLOOK</t>
  </si>
  <si>
    <t>AMONADI</t>
  </si>
  <si>
    <t>PROBLÈME DE L'ENVOIE DES MAIL BOITE PLEIN</t>
  </si>
  <si>
    <t>YKADDARA</t>
  </si>
  <si>
    <t>PROBLÈME D'ARCHIVAGE OUTLOOK</t>
  </si>
  <si>
    <t>PROBLÈME DE L'ENVOIE DES EMAILS</t>
  </si>
  <si>
    <t>YTAFALLOUST</t>
  </si>
  <si>
    <t>RÉPARATION DE POSTE +RÉSOLUTION DE PROBLÈME DISQUE AINSI QUE L'INSTALLATION DE WINDOWS 11</t>
  </si>
  <si>
    <t>AFFECTATION DE POSTE SWAP</t>
  </si>
  <si>
    <t>PROBLÈME DISQUE DUR</t>
  </si>
  <si>
    <t>PROBLÈME DÉMARRAGE D'ORDINATEUR</t>
  </si>
  <si>
    <t>CHANGEMENT DE CLAVIER</t>
  </si>
  <si>
    <t>KCHAABI</t>
  </si>
  <si>
    <t xml:space="preserve">PROBLÈME RÉSEAU IP INVALIDE </t>
  </si>
  <si>
    <t xml:space="preserve">CHANGEMENT DE TONER IMPRIMANTE ÉTAGE </t>
  </si>
  <si>
    <t>AFFECTATION DE CODE L'IMPRIMANTE</t>
  </si>
  <si>
    <t>AGENT VO</t>
  </si>
  <si>
    <t xml:space="preserve">CHANGEMENT DE TONER IMPRIMANTE DAF </t>
  </si>
  <si>
    <t>MMARDI</t>
  </si>
  <si>
    <t xml:space="preserve">LA RÉCUPÉRATION DES ARCHIVES </t>
  </si>
  <si>
    <t>NWATIK</t>
  </si>
  <si>
    <t xml:space="preserve">PROBLÈME DE LA RECHERCHE DES ANCIENS EMAIL </t>
  </si>
  <si>
    <t>PROBLÈME D'OUVERTURE OUTLOOK</t>
  </si>
  <si>
    <t>MELBOURKI</t>
  </si>
  <si>
    <t xml:space="preserve">CRÉATION DE BON DE COMMANDE </t>
  </si>
  <si>
    <t xml:space="preserve">RÉPARATION DE POSTE + INSTALLATION DE WINDOWS 11 </t>
  </si>
  <si>
    <t>ACHADLI</t>
  </si>
  <si>
    <t>RÉPARATION DE POSTE FICHE USB N'EST PAS FONCTIONNELLE</t>
  </si>
  <si>
    <t>AMOUSSAID</t>
  </si>
  <si>
    <t>PRÉPARATION DE LA FICHE D'INVENTAIRE 2024</t>
  </si>
  <si>
    <t xml:space="preserve">PROBLÈME DE LA RELATION D'APPROBATION </t>
  </si>
  <si>
    <t xml:space="preserve">RÉPARATION + PRÉPARATION DE POSTE  </t>
  </si>
  <si>
    <t xml:space="preserve">FOURNITURE DE BUREAU </t>
  </si>
  <si>
    <t>PROBLÈME D'IMPRIMANTE COULEUR N'EST PAS FONCTIONNELLE</t>
  </si>
  <si>
    <t xml:space="preserve">RÉPARATION D'ORDINATEUR +FORMATAGE </t>
  </si>
  <si>
    <t>FBELKHROUF</t>
  </si>
  <si>
    <t xml:space="preserve">NETTOYAGE EST MISE A JOUR D'ORDINATEUR </t>
  </si>
  <si>
    <t xml:space="preserve">PROBLÈME D2MARRAGE DE LAPTOP </t>
  </si>
  <si>
    <t>AMAHBOUB</t>
  </si>
  <si>
    <t xml:space="preserve">PROBLÈME D'ORDINATEUR TRÈS LENT </t>
  </si>
  <si>
    <t xml:space="preserve">CONFIGURATION SAGE </t>
  </si>
  <si>
    <t>Envois SMS VO</t>
  </si>
  <si>
    <t>Réintégration des véhicules cédés : 76792-E-6 sur locpro</t>
  </si>
  <si>
    <t>Affecter les demandes préventives à ANAS OIRDI sur locpro</t>
  </si>
  <si>
    <t>MSA du récapitulatif commercial au titre de l’exercice 2025 sur locpro</t>
  </si>
  <si>
    <t>Faire sortir du parc les VHs : 76792-E-6 sur locpro</t>
  </si>
  <si>
    <t>Import de la liste des véhicules disponible à la vente sur platforme chaabilldocaz</t>
  </si>
  <si>
    <t>INCIDENT NON RECEPTION DES EMAIL</t>
  </si>
  <si>
    <t>NAWAL CHARIFI</t>
  </si>
  <si>
    <t>INCIDENT POSTE</t>
  </si>
  <si>
    <t>DEMANDE LICENCE SAGE</t>
  </si>
  <si>
    <t>INCIDENT IMPRESSION</t>
  </si>
  <si>
    <t>IMANE ZAIDANE</t>
  </si>
  <si>
    <t>SI</t>
  </si>
  <si>
    <t>COMMANDE TICKET</t>
  </si>
  <si>
    <t>TRANSFERT DES EMAILS</t>
  </si>
  <si>
    <t>ZAKARIA AOUNI</t>
  </si>
  <si>
    <t>MISE EN PLACE DU MESSAGE DE CONGES</t>
  </si>
  <si>
    <t xml:space="preserve">INCIDENT D'IMPRESSION LIVRAISON </t>
  </si>
  <si>
    <t>AYOUB AIT BAKHIL</t>
  </si>
  <si>
    <t>DEMANDE 3 CLE USB</t>
  </si>
  <si>
    <t>INCIDENT DE RECEPTION D'EMAIL CHAABIOCCAZ</t>
  </si>
  <si>
    <t>PLANNIFICATION REUNION NUCLEON</t>
  </si>
  <si>
    <t>INCIDENT GADGET HISTORIQUE FINESSE</t>
  </si>
  <si>
    <t>CRC</t>
  </si>
  <si>
    <t>BLACK LISTE SPAM</t>
  </si>
  <si>
    <t xml:space="preserve"> TOUTLEMONDE</t>
  </si>
  <si>
    <t>KAOUTAR CHAABI</t>
  </si>
  <si>
    <t xml:space="preserve"> YOUNESS TAFALLOUST</t>
  </si>
  <si>
    <t>AHMAD MOUNADI</t>
  </si>
  <si>
    <t>MAHMOUD EL FADIL</t>
  </si>
  <si>
    <t>Catégorie</t>
  </si>
  <si>
    <t>CONFIGURATION</t>
  </si>
  <si>
    <t>ANALYSE DATA</t>
  </si>
  <si>
    <t>BASE DE DONNEES</t>
  </si>
  <si>
    <t>INCIDENT</t>
  </si>
  <si>
    <t>ASSISTANCE</t>
  </si>
  <si>
    <t>APPLICATION</t>
  </si>
  <si>
    <t>MESSAGERIE</t>
  </si>
  <si>
    <t>INSTALLATION</t>
  </si>
  <si>
    <t>INTERNET</t>
  </si>
  <si>
    <t>ACTIVE DIRECTORY</t>
  </si>
  <si>
    <t>PARAMÉTRAGE</t>
  </si>
  <si>
    <t>LOGICIEL</t>
  </si>
  <si>
    <t>VULNERABILITE</t>
  </si>
  <si>
    <t>AMELIORATION</t>
  </si>
  <si>
    <t>SECURITE</t>
  </si>
  <si>
    <t>TEST</t>
  </si>
  <si>
    <t>CISCO</t>
  </si>
  <si>
    <t>Moyenne indisponibilité</t>
  </si>
  <si>
    <t>Moyenne disponibilité</t>
  </si>
  <si>
    <t>Colonne2</t>
  </si>
  <si>
    <t>Colonne1</t>
  </si>
  <si>
    <t>Total général</t>
  </si>
  <si>
    <t>Nombre de N° Ticket</t>
  </si>
  <si>
    <t>Étiquettes de lignes</t>
  </si>
  <si>
    <t>Incidents clôturés</t>
  </si>
  <si>
    <t>Incidents non clôturés</t>
  </si>
  <si>
    <t>Indicateur</t>
  </si>
  <si>
    <t>Périodicité</t>
  </si>
  <si>
    <t>% traitement (Mars 2024)</t>
  </si>
  <si>
    <t>Rétablissement en cas d’incident</t>
  </si>
  <si>
    <t>Mensuel</t>
  </si>
  <si>
    <t>Nombre</t>
  </si>
  <si>
    <t>Action réalisés</t>
  </si>
  <si>
    <t>Nombre de postes/serveurs concernés</t>
  </si>
  <si>
    <t>Nombre de fois l'action réalisés</t>
  </si>
  <si>
    <t>-</t>
  </si>
  <si>
    <t>Alerte et mise à jour</t>
  </si>
  <si>
    <t>Total</t>
  </si>
  <si>
    <t>demande</t>
  </si>
  <si>
    <t>MATERIEL info</t>
  </si>
  <si>
    <t>RÉSEAU et connexion</t>
  </si>
  <si>
    <t>Cisco et telephonie</t>
  </si>
  <si>
    <t>SECURIE IT</t>
  </si>
  <si>
    <t>PORTAIL WEB</t>
  </si>
  <si>
    <t>ACCESSOIR INFORMATIQUE</t>
  </si>
  <si>
    <t>POST DE TRAVAIL</t>
  </si>
  <si>
    <t>ECRAN</t>
  </si>
  <si>
    <t>IMPRESSION</t>
  </si>
  <si>
    <t>SERVEUR ET STOCKAGE</t>
  </si>
  <si>
    <t>RESEAU ET SWITCH</t>
  </si>
  <si>
    <t>MOBILITE</t>
  </si>
  <si>
    <t>PEREPHIRIQUE</t>
  </si>
  <si>
    <t>CLAVIER</t>
  </si>
  <si>
    <t>SOURIS</t>
  </si>
  <si>
    <t>ALEMENTATION</t>
  </si>
  <si>
    <t>CASQUE</t>
  </si>
  <si>
    <t>GESTION DES ACCESS</t>
  </si>
  <si>
    <t>NAC</t>
  </si>
  <si>
    <t>SECURITE MESSAGERIE</t>
  </si>
  <si>
    <t>SECURITE DES POSTES</t>
  </si>
  <si>
    <t>SECURITE RESEAU</t>
  </si>
  <si>
    <t>INCIDENT DE SECURITE</t>
  </si>
  <si>
    <t>SECURITE CLOUD</t>
  </si>
  <si>
    <t>SAGE</t>
  </si>
  <si>
    <t>LOCPR</t>
  </si>
  <si>
    <t>ONBASE</t>
  </si>
  <si>
    <t>CHAABIOCAS</t>
  </si>
  <si>
    <t>INSTALLATION ET DEPLOIEMENT</t>
  </si>
  <si>
    <t>ACCESS ET LICENCE</t>
  </si>
  <si>
    <t>INCIDENT LOGICIEL</t>
  </si>
  <si>
    <t>SECURITE LOGICIEL</t>
  </si>
  <si>
    <t>TELEPHONIE IP</t>
  </si>
  <si>
    <t>LES LIGNES ET LES COMPTES TEL</t>
  </si>
  <si>
    <t>CENTRE DES CONTACTS</t>
  </si>
  <si>
    <t>RESEAU VOIP</t>
  </si>
  <si>
    <t>GESTION DE CALENDRIER</t>
  </si>
  <si>
    <t>SAUVEGARDE ET RESTEAURATION</t>
  </si>
  <si>
    <t>VIRTUALISATION</t>
  </si>
  <si>
    <t>STOCKAGE</t>
  </si>
  <si>
    <t xml:space="preserve">ALIMENTATION DATA CENTER </t>
  </si>
  <si>
    <t>ONDULAIRE DATE CENTER</t>
  </si>
  <si>
    <t>DATA CENTER RACK</t>
  </si>
  <si>
    <t>EXTRA NET CLIENT</t>
  </si>
  <si>
    <t>SOUS CATEGORIE MATERIEL INFO</t>
  </si>
  <si>
    <t>SOUS CATEGORIE ACCESSOIR INFORMATIQUE</t>
  </si>
  <si>
    <t>SOUS CATEGORIE SECURITE IT</t>
  </si>
  <si>
    <t>SOUS CATEGORIE APPLICATION</t>
  </si>
  <si>
    <t>SOUS CATEGORIE LOGICIEL</t>
  </si>
  <si>
    <t>SOUS CATEGORIE CISCO ET TELEPHONIE</t>
  </si>
  <si>
    <t>SOUS CATEGORIE INFRA IT</t>
  </si>
  <si>
    <t>SOUS CATEGORIE PORTAIL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</si>
</sst>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2060"/>
      <name val="Cambria"/>
      <family val="1"/>
    </font>
    <font>
      <b/>
      <sz val="11"/>
      <color rgb="FF1F497D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0" xfId="0" applyFont="1"/>
    <xf numFmtId="0" fontId="22" fillId="0" borderId="0" xfId="0" applyFont="1"/>
    <xf numFmtId="0" fontId="0" fillId="0" borderId="10" xfId="0" applyBorder="1"/>
    <xf numFmtId="0" fontId="0" fillId="0" borderId="10" xfId="0" applyBorder="1" applyAlignment="1">
      <alignment horizontal="left"/>
    </xf>
    <xf numFmtId="0" fontId="16" fillId="0" borderId="10" xfId="0" applyFont="1" applyBorder="1"/>
    <xf numFmtId="0" fontId="16" fillId="0" borderId="0" xfId="0" applyFont="1"/>
    <xf numFmtId="0" fontId="0" fillId="0" borderId="11" xfId="0" applyBorder="1"/>
    <xf numFmtId="9" fontId="0" fillId="0" borderId="0" xfId="42" applyFont="1"/>
    <xf numFmtId="9" fontId="0" fillId="0" borderId="10" xfId="42" applyFont="1" applyBorder="1"/>
    <xf numFmtId="9" fontId="0" fillId="33" borderId="10" xfId="42" applyFont="1" applyFill="1" applyBorder="1"/>
    <xf numFmtId="0" fontId="0" fillId="33" borderId="10" xfId="0" applyFill="1" applyBorder="1"/>
    <xf numFmtId="0" fontId="13" fillId="34" borderId="10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23" fillId="35" borderId="12" xfId="0" applyFont="1" applyFill="1" applyBorder="1" applyAlignment="1">
      <alignment horizontal="center" vertical="center" readingOrder="1"/>
    </xf>
    <xf numFmtId="0" fontId="24" fillId="36" borderId="13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vertical="center" wrapText="1"/>
    </xf>
    <xf numFmtId="0" fontId="26" fillId="37" borderId="10" xfId="0" applyFont="1" applyFill="1" applyBorder="1" applyAlignment="1">
      <alignment horizontal="center" vertical="center" wrapText="1" readingOrder="1"/>
    </xf>
    <xf numFmtId="0" fontId="26" fillId="37" borderId="10" xfId="0" quotePrefix="1" applyFont="1" applyFill="1" applyBorder="1" applyAlignment="1">
      <alignment horizontal="center" vertical="center" wrapText="1" readingOrder="1"/>
    </xf>
    <xf numFmtId="0" fontId="16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38" borderId="10" xfId="0" applyFill="1" applyBorder="1"/>
    <xf numFmtId="0" fontId="0" fillId="38" borderId="11" xfId="0" applyFill="1" applyBorder="1"/>
    <xf numFmtId="0" fontId="14" fillId="0" borderId="10" xfId="0" applyFont="1" applyBorder="1"/>
    <xf numFmtId="0" fontId="0" fillId="38" borderId="10" xfId="0" applyFill="1" applyBorder="1" applyAlignment="1">
      <alignment horizontal="left"/>
    </xf>
    <xf numFmtId="0" fontId="0" fillId="38" borderId="0" xfId="0" applyFill="1"/>
    <xf numFmtId="0" fontId="27" fillId="36" borderId="13" xfId="0" applyFont="1" applyFill="1" applyBorder="1" applyAlignment="1">
      <alignment horizontal="left" vertical="center"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7"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lam RECHDAOUI" refreshedDate="45704.984403009257" createdVersion="6" refreshedVersion="6" minRefreshableVersion="3" recordCount="190" xr:uid="{00000000-000A-0000-FFFF-FFFF19000000}">
  <cacheSource type="worksheet">
    <worksheetSource ref="A1:Q191" sheet="Tickets_012025"/>
  </cacheSource>
  <cacheFields count="17">
    <cacheField name="Date de création" numFmtId="0">
      <sharedItems containsSemiMixedTypes="0" containsDate="1" containsString="0" containsMixedTypes="1" minDate="2025-01-02T10:17:00" maxDate="2025-02-01T00:00:00"/>
    </cacheField>
    <cacheField name="N° Ticket" numFmtId="0">
      <sharedItems containsSemiMixedTypes="0" containsString="0" containsNumber="1" containsInteger="1" minValue="1" maxValue="1166751"/>
    </cacheField>
    <cacheField name="Statut" numFmtId="0">
      <sharedItems count="2">
        <s v="CLÔTURÉ"/>
        <s v="EN COURS DE TRAITEMENT"/>
      </sharedItems>
    </cacheField>
    <cacheField name="Créateur Ticket" numFmtId="0">
      <sharedItems/>
    </cacheField>
    <cacheField name="Objet ticket" numFmtId="0">
      <sharedItems/>
    </cacheField>
    <cacheField name="Description Ticket" numFmtId="0">
      <sharedItems containsBlank="1"/>
    </cacheField>
    <cacheField name="Priorité" numFmtId="0">
      <sharedItems containsBlank="1"/>
    </cacheField>
    <cacheField name="Urgence" numFmtId="0">
      <sharedItems containsBlank="1"/>
    </cacheField>
    <cacheField name="Ticket Traité par" numFmtId="0">
      <sharedItems containsBlank="1"/>
    </cacheField>
    <cacheField name="Typologie ticket" numFmtId="0">
      <sharedItems count="12">
        <s v="INCIDENT"/>
        <s v="ACHAT MG"/>
        <s v="INFRASTRUCTURE IT"/>
        <s v="ASSISTANCE"/>
        <s v="AMELIORATION"/>
        <s v="CONFIGURATION"/>
        <s v="ANALYSE DATA"/>
        <s v="TEST"/>
        <s v="PARAMÉTRAGE"/>
        <s v="INSTALLATION"/>
        <s v="VULNERABILITE"/>
        <s v="MATERIEL" u="1"/>
      </sharedItems>
    </cacheField>
    <cacheField name="Categorie" numFmtId="0">
      <sharedItems count="13">
        <s v="MATERIEL"/>
        <s v="FOURNITURE"/>
        <s v="RÉSEAU"/>
        <s v="OUTLOOK"/>
        <s v="MESSAGERIE"/>
        <s v="INTERNET"/>
        <s v="CISCO"/>
        <s v="LOGICIEL"/>
        <s v="INFRASTRUCTURE MG"/>
        <s v="ACTIVE DIRECTORY"/>
        <s v="APPLICATION"/>
        <s v="BASE DE DONNEES"/>
        <s v="SECURITE"/>
      </sharedItems>
    </cacheField>
    <cacheField name="Impact incident" numFmtId="0">
      <sharedItems containsBlank="1" count="2">
        <s v="PAS D'IMPACTE SUR L'ARRÊT DE SERVICE"/>
        <m u="1"/>
      </sharedItems>
    </cacheField>
    <cacheField name="Site" numFmtId="0">
      <sharedItems containsBlank="1"/>
    </cacheField>
    <cacheField name="Durée Ticket" numFmtId="0">
      <sharedItems containsNonDate="0" containsString="0" containsBlank="1"/>
    </cacheField>
    <cacheField name="Duée type" numFmtId="0">
      <sharedItems containsNonDate="0" containsString="0" containsBlank="1"/>
    </cacheField>
    <cacheField name="Demandeur Ticket" numFmtId="0">
      <sharedItems containsNonDate="0" containsString="0" containsBlank="1"/>
    </cacheField>
    <cacheField name="Date Ticke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">
  <r>
    <d v="2025-01-23T10:23:55"/>
    <n v="1166751"/>
    <x v="0"/>
    <s v="AELBAKHIL"/>
    <s v="PB IMPRIMANTE LIVRAISON"/>
    <s v="TONER"/>
    <s v="CRITIQUE"/>
    <m/>
    <m/>
    <x v="0"/>
    <x v="0"/>
    <x v="0"/>
    <s v="SIÈGE CHAABI LLD"/>
    <m/>
    <m/>
    <m/>
    <m/>
  </r>
  <r>
    <d v="2025-01-13T11:36:17"/>
    <n v="1161074"/>
    <x v="1"/>
    <s v="AELBAKHIL"/>
    <s v="POCHETTES DOC VN"/>
    <s v="J'AI CONSTATÉ QU'IL RESTE 3 LOT DONC 150"/>
    <s v="NORMALE"/>
    <m/>
    <m/>
    <x v="1"/>
    <x v="1"/>
    <x v="0"/>
    <s v="SIÈGE CHAABI LLD"/>
    <m/>
    <m/>
    <m/>
    <m/>
  </r>
  <r>
    <d v="2025-01-09T12:11:07"/>
    <n v="1160312"/>
    <x v="0"/>
    <s v="AFALIH"/>
    <s v="INCIDENT IMPRIMANTE COULEUR ( TEHCNIQUE )"/>
    <s v="INCIDENT IMPRIMANTE COULEUR ( TEHCNIQUE )"/>
    <s v="NORMALE"/>
    <s v="NON URGENT"/>
    <s v="AMINE FALIH"/>
    <x v="0"/>
    <x v="0"/>
    <x v="0"/>
    <s v="SIÈGE CHAABI LLD"/>
    <m/>
    <m/>
    <m/>
    <m/>
  </r>
  <r>
    <d v="2025-01-09T12:10:49"/>
    <n v="1160311"/>
    <x v="0"/>
    <s v="AFARIH"/>
    <s v="INCIDENT CABLE RÉSEAU"/>
    <s v="INCIDENT CABLE RÉSEAU ( AFARIH )"/>
    <s v="NORMALE"/>
    <s v="NON URGENT"/>
    <s v="AMINE FALIH"/>
    <x v="0"/>
    <x v="2"/>
    <x v="0"/>
    <s v="SIÈGE CHAABI LLD"/>
    <m/>
    <m/>
    <m/>
    <m/>
  </r>
  <r>
    <d v="2025-01-09T12:10:10"/>
    <n v="1160310"/>
    <x v="0"/>
    <s v="AFALIH"/>
    <s v="RÉCEPTION MATÉRIEL - CHECKPOINT"/>
    <s v="RÉCEPTION MATÉRIEL - CHECKPOINT ( AMINE FALIH )"/>
    <s v="NORMALE"/>
    <s v="NON URGENT"/>
    <s v="AMINE FALIH"/>
    <x v="2"/>
    <x v="0"/>
    <x v="0"/>
    <s v="SIÈGE CHAABI LLD"/>
    <m/>
    <m/>
    <m/>
    <m/>
  </r>
  <r>
    <d v="2025-01-09T12:09:28"/>
    <n v="1160309"/>
    <x v="0"/>
    <s v="CHARGÉ IMMOBILISATION"/>
    <s v="INCIDENT DE LENTEUR OUTLOOK"/>
    <s v="INCIDENT DE LENTEUR OUTLOOK ( CHARGÉ IMMOBILISATION )"/>
    <s v="NORMALE"/>
    <s v="NON URGENT"/>
    <s v="AMINE FALIH"/>
    <x v="2"/>
    <x v="3"/>
    <x v="0"/>
    <s v="SIÈGE CHAABI LLD"/>
    <m/>
    <m/>
    <m/>
    <m/>
  </r>
  <r>
    <d v="2025-01-09T12:09:00"/>
    <n v="1160308"/>
    <x v="0"/>
    <s v="HASNA BOUJMAD"/>
    <s v="INCIDENT D'ENVOI DE PJ"/>
    <s v="INCIDENT D'ENVOI DE PJ ( HASNA BOUJMAD )"/>
    <s v="NORMALE"/>
    <s v="NON URGENT"/>
    <s v="AMINE FALIH"/>
    <x v="0"/>
    <x v="4"/>
    <x v="0"/>
    <s v="SIÈGE CHAABI LLD"/>
    <m/>
    <m/>
    <m/>
    <m/>
  </r>
  <r>
    <d v="2025-01-09T12:08:24"/>
    <n v="1160307"/>
    <x v="0"/>
    <s v="HIND EL FOUISSI"/>
    <s v="DEMANDE DE RAJOUT DE RACCOURCIE FORMULAIRE"/>
    <s v="DEMANDE DE RAJOUT DE RACCOURCIE FORMULAIRE ( HIND EL FOUISSI )"/>
    <s v="NORMALE"/>
    <s v="NON URGENT"/>
    <s v="AMINE FALIH"/>
    <x v="3"/>
    <x v="5"/>
    <x v="0"/>
    <s v="SIÈGE CHAABI LLD"/>
    <m/>
    <m/>
    <m/>
    <m/>
  </r>
  <r>
    <d v="2025-01-09T12:08:02"/>
    <n v="1160306"/>
    <x v="0"/>
    <s v="ADIL DOUMARI"/>
    <s v="INCIDENT DE LOG NARSA"/>
    <s v="INCIDENT DE LOG NARSA ( ADIL DOUMARI )"/>
    <s v="NORMALE"/>
    <s v="NON URGENT"/>
    <s v="AMINE FALIH"/>
    <x v="0"/>
    <x v="5"/>
    <x v="0"/>
    <s v="SIÈGE CHAABI LLD"/>
    <m/>
    <m/>
    <m/>
    <m/>
  </r>
  <r>
    <d v="2025-01-09T12:07:07"/>
    <n v="1160305"/>
    <x v="0"/>
    <s v="DG"/>
    <s v="INCIDENT DE RÉCEPTION DES EMAILS"/>
    <s v="INCIDENT DE RÉCEPTION DES EMAILS ( DG )"/>
    <s v="NORMALE"/>
    <s v="NON URGENT"/>
    <s v="AMINE FALIH"/>
    <x v="0"/>
    <x v="4"/>
    <x v="0"/>
    <s v="SIÈGE CHAABI LLD"/>
    <m/>
    <m/>
    <m/>
    <m/>
  </r>
  <r>
    <d v="2025-01-09T12:06:47"/>
    <n v="1160304"/>
    <x v="0"/>
    <s v="NADIA WATIK"/>
    <s v="INCIDENT DE RECHERCHE DES EMAILS"/>
    <s v="INCIDENT DE RECHERCHE DES EMAILS ( NADIA WATIK )"/>
    <s v="NORMALE"/>
    <s v="NON URGENT"/>
    <s v="AMINE FALIH"/>
    <x v="0"/>
    <x v="4"/>
    <x v="0"/>
    <s v="SIÈGE CHAABI LLD"/>
    <m/>
    <m/>
    <m/>
    <m/>
  </r>
  <r>
    <d v="2025-01-09T12:06:19"/>
    <n v="1160303"/>
    <x v="0"/>
    <s v="CONTACT2"/>
    <s v="INCIDENT D'AUTHENTIFICATION CISCO FINESSE"/>
    <s v="INCIDENT D'AUTHENTIFICATION CISCO FINESSE ( CONTACT2 )"/>
    <s v="NORMALE"/>
    <s v="NON URGENT"/>
    <s v="AMINE FALIH"/>
    <x v="0"/>
    <x v="6"/>
    <x v="0"/>
    <s v="SIÈGE CHAABI LLD"/>
    <m/>
    <m/>
    <m/>
    <m/>
  </r>
  <r>
    <d v="2025-01-09T12:05:55"/>
    <n v="1160302"/>
    <x v="0"/>
    <s v="FATIMA ZAHRA CHAKROUN"/>
    <s v="INCIDENT D'ACCÈS INTERNET"/>
    <s v="INCIDENT D'ACCÈS INTERNET ( FATIMA ZAHRA CHAKROUN )"/>
    <s v="NORMALE"/>
    <s v="NON URGENT"/>
    <s v="AMINE FALIH"/>
    <x v="0"/>
    <x v="5"/>
    <x v="0"/>
    <s v="SIÈGE CHAABI LLD"/>
    <m/>
    <m/>
    <m/>
    <m/>
  </r>
  <r>
    <d v="2025-01-09T12:05:34"/>
    <n v="1160301"/>
    <x v="0"/>
    <s v="MAJIDA EL BOUKRI"/>
    <s v="INCIDENT DE DÉMARRAGE DE POSTE"/>
    <s v="INCIDENT DE DÉMARRAGE DE POSTE ( MAJIDA EL BOUKRI )"/>
    <s v="NORMALE"/>
    <s v="NON URGENT"/>
    <s v="AMINE FALIH"/>
    <x v="0"/>
    <x v="0"/>
    <x v="0"/>
    <s v="SIÈGE CHAABI LLD"/>
    <m/>
    <m/>
    <m/>
    <m/>
  </r>
  <r>
    <d v="2025-01-09T12:05:17"/>
    <n v="1160300"/>
    <x v="0"/>
    <s v="MOHAMED BENALI"/>
    <s v="RÉCEPTION ET BLACK LISTE D'UN SPAM"/>
    <s v="RÉCEPTION ET BLACK LISTE D'UN SPAM ( MOHAMED BENALI )"/>
    <s v="NORMALE"/>
    <s v="NON URGENT"/>
    <s v="AMINE FALIH"/>
    <x v="0"/>
    <x v="4"/>
    <x v="0"/>
    <s v="SIÈGE CHAABI LLD"/>
    <m/>
    <m/>
    <m/>
    <m/>
  </r>
  <r>
    <d v="2025-01-09T12:04:55"/>
    <n v="1160299"/>
    <x v="0"/>
    <s v="MAJIDA EL BOUKRI"/>
    <s v="INCIDENT OUTLOOK"/>
    <s v="INCIDENT OUTLOOK ( MAJIDA EL BOUKRI )"/>
    <s v="NORMALE"/>
    <s v="NON URGENT"/>
    <s v="AMINE FALIH"/>
    <x v="0"/>
    <x v="4"/>
    <x v="0"/>
    <s v="SIÈGE CHAABI LLD"/>
    <m/>
    <m/>
    <m/>
    <m/>
  </r>
  <r>
    <d v="2025-01-09T12:04:33"/>
    <n v="1160298"/>
    <x v="0"/>
    <s v="WAFAA SOUKRI"/>
    <s v="DEMANDE FOURNITURE : CHEMISE DES AO"/>
    <s v="DEMANDE FOURNITURE : CHEMISE DES AO ( WAFAA SOUKRI )"/>
    <s v="NORMALE"/>
    <s v="NON URGENT"/>
    <s v="AMINE FALIH"/>
    <x v="1"/>
    <x v="1"/>
    <x v="0"/>
    <s v="SIÈGE CHAABI LLD"/>
    <m/>
    <m/>
    <m/>
    <m/>
  </r>
  <r>
    <d v="2025-01-09T12:03:51"/>
    <n v="1160297"/>
    <x v="0"/>
    <s v="MAJIDA EL BOUKRI"/>
    <s v="INCIDENT DE RÉCEPTION DES EMAILS"/>
    <s v="INCIDENT DE RÉCEPTION DES EMAILS ( MAJIDA EL BOUKRI )"/>
    <s v="NORMALE"/>
    <s v="NON URGENT"/>
    <s v="AMINE FALIH"/>
    <x v="0"/>
    <x v="4"/>
    <x v="0"/>
    <s v="SIÈGE CHAABI LLD"/>
    <m/>
    <m/>
    <m/>
    <m/>
  </r>
  <r>
    <d v="2025-01-09T12:03:30"/>
    <n v="1160296"/>
    <x v="0"/>
    <s v=" MEHDI BOUGHLAM"/>
    <s v="INCIDENT CABLE RÉSEAU"/>
    <s v="INCIDENT CABLE RÉSEAU ( MEHDI BOUGHLAM )"/>
    <s v="NORMALE"/>
    <s v="NON URGENT"/>
    <s v="AMINE FALIH"/>
    <x v="0"/>
    <x v="2"/>
    <x v="0"/>
    <s v="SIÈGE CHAABI LLD"/>
    <m/>
    <m/>
    <m/>
    <m/>
  </r>
  <r>
    <d v="2025-01-09T12:03:14"/>
    <n v="1160295"/>
    <x v="0"/>
    <s v="HAJAR AZZM"/>
    <s v="INCIDENT OUTLOOK"/>
    <s v="INCIDENT OUTLOOK ( HAJAR AZZM )"/>
    <s v="NORMALE"/>
    <s v="NON URGENT"/>
    <s v="AMINE FALIH"/>
    <x v="0"/>
    <x v="4"/>
    <x v="0"/>
    <s v="SIÈGE CHAABI LLD"/>
    <m/>
    <m/>
    <m/>
    <m/>
  </r>
  <r>
    <d v="2025-01-09T12:02:59"/>
    <n v="1160294"/>
    <x v="0"/>
    <s v="MEHDI BOUGHLAM"/>
    <s v="INCIDENT D'ACCÈS TSE"/>
    <s v="INCIDENT D'ACCÈS TSE ( MEHDI BOUGHLAM )"/>
    <s v="NORMALE"/>
    <s v="NON URGENT"/>
    <s v="AMINE FALIH"/>
    <x v="0"/>
    <x v="7"/>
    <x v="0"/>
    <s v="SIÈGE CHAABI LLD"/>
    <m/>
    <m/>
    <m/>
    <m/>
  </r>
  <r>
    <d v="2025-01-09T11:00:41"/>
    <n v="1160292"/>
    <x v="1"/>
    <s v="AELBAKHIL"/>
    <s v="POCHETTES DOC VN"/>
    <m/>
    <s v="NORMALE"/>
    <m/>
    <m/>
    <x v="1"/>
    <x v="1"/>
    <x v="0"/>
    <s v="SIÈGE CHAABI LLD"/>
    <m/>
    <m/>
    <m/>
    <m/>
  </r>
  <r>
    <d v="2025-01-08T11:28:34"/>
    <n v="1159522"/>
    <x v="0"/>
    <s v="SAMRANI"/>
    <s v="PROBLÈME DE LA POMPE (SAMRANI)"/>
    <s v="PROBLÈME DE LA POMPE (SAMRANI)"/>
    <s v="NORMALE"/>
    <m/>
    <m/>
    <x v="0"/>
    <x v="8"/>
    <x v="0"/>
    <s v="SIÈGE CHAABI LLD"/>
    <m/>
    <m/>
    <m/>
    <m/>
  </r>
  <r>
    <d v="2025-01-08T11:28:01"/>
    <n v="1159521"/>
    <x v="0"/>
    <s v="KGHALI"/>
    <s v="RÉPARATION D'ORDINATEUR +FORMATAGE DISQUE"/>
    <s v="RÉPARATION D'ORDINATEUR +FORMATAGE DISQUE (KGHALI)"/>
    <s v="NORMALE"/>
    <m/>
    <m/>
    <x v="0"/>
    <x v="0"/>
    <x v="0"/>
    <s v="SIÈGE CHAABI LLD"/>
    <m/>
    <m/>
    <m/>
    <m/>
  </r>
  <r>
    <d v="2025-01-08T11:27:10"/>
    <n v="1159520"/>
    <x v="0"/>
    <s v="HAZZAM"/>
    <s v="PROBLÉME D'AFFICHAGE CALENDRIER SUR OUTLOOK"/>
    <s v="PROBLÈME D'AFFICHAGE CALENDRIER SUR OUTLOOK (HAZZAM)"/>
    <s v="NORMALE"/>
    <m/>
    <m/>
    <x v="0"/>
    <x v="4"/>
    <x v="0"/>
    <s v="SIÈGE CHAABI LLD"/>
    <m/>
    <m/>
    <m/>
    <m/>
  </r>
  <r>
    <d v="2025-01-08T11:26:32"/>
    <n v="1159519"/>
    <x v="0"/>
    <s v="SBOURASS"/>
    <s v="PROBLÉME RÉSEAU"/>
    <s v="PROBLÈME RÉSEAU (SBOURASS)"/>
    <s v="NORMALE"/>
    <m/>
    <m/>
    <x v="0"/>
    <x v="2"/>
    <x v="0"/>
    <s v="SIÈGE CHAABI LLD"/>
    <m/>
    <m/>
    <m/>
    <m/>
  </r>
  <r>
    <d v="2025-01-08T11:26:11"/>
    <n v="1159518"/>
    <x v="0"/>
    <s v="TARIK"/>
    <s v="PROBLÈME D'ALIMENTATION D'ÉCRAN"/>
    <s v="PROBLÈME D'ALIMENTATION D'ÉCRAN (TARIK)"/>
    <s v="NORMALE"/>
    <m/>
    <m/>
    <x v="0"/>
    <x v="0"/>
    <x v="0"/>
    <s v="SIÈGE CHAABI LLD"/>
    <m/>
    <m/>
    <m/>
    <m/>
  </r>
  <r>
    <d v="2025-01-08T11:25:34"/>
    <n v="1159517"/>
    <x v="0"/>
    <s v="KGHALI"/>
    <s v="CHANGEMENT DE L'ORDINATEUR APRÈS LA RÉPARATION"/>
    <s v="CHANGEMENT DE L'ORDINATEUR APRÈS LA RÉPARATION (KGHALI)"/>
    <s v="NORMALE"/>
    <m/>
    <m/>
    <x v="0"/>
    <x v="0"/>
    <x v="0"/>
    <s v="SIÈGE CHAABI LLD"/>
    <m/>
    <m/>
    <m/>
    <m/>
  </r>
  <r>
    <d v="2025-01-08T11:24:37"/>
    <n v="1159516"/>
    <x v="0"/>
    <s v="SELGHIOUANE"/>
    <s v="AFFECTATION DOSSIER PARTAGER DAF-DT SUR BUREAU"/>
    <s v="AFFECTATION DOSSIER PARTAGER DAF-DT SUR BUREAU (SELGHIOUANE)"/>
    <s v="NORMALE"/>
    <m/>
    <m/>
    <x v="2"/>
    <x v="2"/>
    <x v="0"/>
    <s v="SIÈGE CHAABI LLD"/>
    <m/>
    <m/>
    <m/>
    <m/>
  </r>
  <r>
    <d v="2025-01-06T14:55:05"/>
    <n v="1156621"/>
    <x v="0"/>
    <s v="AELBAKHIL"/>
    <s v="TONNER IMPRIMANTE LIVRAISON"/>
    <s v="TONNER IMPRIMANTE LIVRAISON"/>
    <s v="NORMALE"/>
    <m/>
    <m/>
    <x v="2"/>
    <x v="0"/>
    <x v="0"/>
    <s v="SIÈGE CHAABI LLD"/>
    <m/>
    <m/>
    <m/>
    <m/>
  </r>
  <r>
    <d v="2025-01-03T15:32:30"/>
    <n v="1156377"/>
    <x v="0"/>
    <s v="AHARI"/>
    <s v="MISE A JOUR POUR TOUT LES POSTES"/>
    <s v="MISE A JOUR POUR TOUT LES POSTES (AHARI)"/>
    <s v="NORMALE"/>
    <m/>
    <m/>
    <x v="4"/>
    <x v="7"/>
    <x v="0"/>
    <s v="SIÈGE CHAABI LLD"/>
    <m/>
    <m/>
    <m/>
    <m/>
  </r>
  <r>
    <d v="2025-01-03T15:31:53"/>
    <n v="1156376"/>
    <x v="0"/>
    <s v="KBERRADA"/>
    <s v="BOITE OUTLOOK PLEIN"/>
    <s v="BOITE OUTLOOK PLEIN (KBERRADA)"/>
    <s v="NORMALE"/>
    <m/>
    <m/>
    <x v="3"/>
    <x v="4"/>
    <x v="0"/>
    <s v="SIÈGE CHAABI LLD"/>
    <m/>
    <m/>
    <m/>
    <m/>
  </r>
  <r>
    <d v="2025-01-03T15:24:47"/>
    <n v="1156374"/>
    <x v="0"/>
    <s v="MKHALOUDI"/>
    <s v="PROBLÈME D'ADAPTATEUR RÉSEAU"/>
    <s v="PROBLÈME D'ADAPTATEUR RÉSEAU (MKHALOUDI)"/>
    <s v="NORMALE"/>
    <m/>
    <m/>
    <x v="0"/>
    <x v="0"/>
    <x v="0"/>
    <s v="SIÈGE CHAABI LLD"/>
    <m/>
    <m/>
    <m/>
    <m/>
  </r>
  <r>
    <d v="2025-01-03T15:23:58"/>
    <n v="1156373"/>
    <x v="0"/>
    <s v="AMONADI"/>
    <s v="ARCHIVAGE OUTLOOK"/>
    <s v="ARCHIVAGE OUTLOOK (AMONADI)"/>
    <s v="NORMALE"/>
    <m/>
    <m/>
    <x v="3"/>
    <x v="4"/>
    <x v="0"/>
    <s v="SIÈGE CHAABI LLD"/>
    <m/>
    <m/>
    <m/>
    <m/>
  </r>
  <r>
    <d v="2025-01-03T15:23:27"/>
    <n v="1156372"/>
    <x v="0"/>
    <s v="YKADDARA"/>
    <s v="PROBLÈME DE L'ENVOIE DES MAIL BOITE PLEIN"/>
    <s v="PROBLÈME DE L'ENVOIE DES MAIL BOITE PLEIN (YKADDARA)"/>
    <s v="NORMALE"/>
    <m/>
    <m/>
    <x v="0"/>
    <x v="4"/>
    <x v="0"/>
    <s v="SIÈGE CHAABI LLD"/>
    <m/>
    <m/>
    <m/>
    <m/>
  </r>
  <r>
    <d v="2025-01-03T15:22:42"/>
    <n v="1156371"/>
    <x v="0"/>
    <s v="AOIRDI"/>
    <s v="PROBLÈME D'ARCHIVAGE OUTLOOK"/>
    <s v="PROBLÈME D'ARCHIVAGE OUTLOOK (AOIRDI)"/>
    <s v="NORMALE"/>
    <m/>
    <m/>
    <x v="0"/>
    <x v="4"/>
    <x v="0"/>
    <s v="SIÈGE CHAABI LLD"/>
    <m/>
    <m/>
    <m/>
    <m/>
  </r>
  <r>
    <d v="2025-01-03T15:21:28"/>
    <n v="1156370"/>
    <x v="0"/>
    <s v="YTAFALLOUST"/>
    <s v="PROBLÈME DE L'ENVOIE DES EMAILS"/>
    <s v="PROBLÈME DE L'ENVOIE DES EMAILS (YTAFALLOUST)"/>
    <s v="NORMALE"/>
    <m/>
    <m/>
    <x v="0"/>
    <x v="4"/>
    <x v="0"/>
    <s v="SIÈGE CHAABI LLD"/>
    <m/>
    <m/>
    <m/>
    <m/>
  </r>
  <r>
    <d v="2025-01-03T15:20:58"/>
    <n v="1156369"/>
    <x v="0"/>
    <s v="KGHALI"/>
    <s v="RÉPARATION DE POSTE +RÉSOLUTION DE PROBLÈME DISQUE AINSI QUE L'INSTALLATION DE WINDOWS 11"/>
    <s v="RÉPARATION DE POSTE +RÉSOLUTION DE PROBLÈME DISQUE AINSI QUE L'INSTALLATION DE WINDOWS 11 (KGHALI)"/>
    <s v="NORMALE"/>
    <m/>
    <m/>
    <x v="0"/>
    <x v="0"/>
    <x v="0"/>
    <s v="SIÈGE CHAABI LLD"/>
    <m/>
    <m/>
    <m/>
    <m/>
  </r>
  <r>
    <d v="2025-01-03T15:18:38"/>
    <n v="1156367"/>
    <x v="0"/>
    <s v="KGHALI"/>
    <s v="AFFECTATION DE POSTE SWAP"/>
    <s v="AFFECTATION DE POSTE SWAP (KGHALI)"/>
    <s v="NORMALE"/>
    <m/>
    <m/>
    <x v="2"/>
    <x v="0"/>
    <x v="0"/>
    <s v="SIÈGE CHAABI LLD"/>
    <m/>
    <m/>
    <m/>
    <m/>
  </r>
  <r>
    <d v="2025-01-03T15:17:38"/>
    <n v="1156366"/>
    <x v="0"/>
    <s v="KGHALI"/>
    <s v="PROBLÈME DISQUE DUR"/>
    <s v="PROBLÈME DISQUE DUR (KGHALI)"/>
    <s v="NORMALE"/>
    <m/>
    <m/>
    <x v="0"/>
    <x v="0"/>
    <x v="0"/>
    <s v="SIÈGE CHAABI LLD"/>
    <m/>
    <m/>
    <m/>
    <m/>
  </r>
  <r>
    <d v="2025-01-03T15:16:15"/>
    <n v="1156365"/>
    <x v="0"/>
    <s v="KGHALI"/>
    <s v="PROBLÈME DÉMARRAGE D'ORDINATEUR"/>
    <s v="PROBLÈME DÉMARRAGE D'ORDINATEUR (KGHALI)"/>
    <s v="NORMALE"/>
    <m/>
    <m/>
    <x v="0"/>
    <x v="0"/>
    <x v="0"/>
    <s v="SIÈGE CHAABI LLD"/>
    <m/>
    <m/>
    <m/>
    <m/>
  </r>
  <r>
    <d v="2025-01-03T15:15:33"/>
    <n v="1156364"/>
    <x v="0"/>
    <s v="KCHAABI"/>
    <s v="CHANGEMENT DE CLAVIER"/>
    <s v="CHANGEMENT DE CLAVIER (KCHAABI)"/>
    <s v="NORMALE"/>
    <m/>
    <m/>
    <x v="2"/>
    <x v="0"/>
    <x v="0"/>
    <s v="SIÈGE CHAABI LLD"/>
    <m/>
    <m/>
    <m/>
    <m/>
  </r>
  <r>
    <d v="2025-01-03T15:15:01"/>
    <n v="1156363"/>
    <x v="0"/>
    <s v="KCHAABI"/>
    <s v="PROBLÈME DÉMARRAGE D'ORDINATEUR"/>
    <s v="PROBLÈME DÉMARRAGE D'ORDINATEUR (KCHAABI)"/>
    <s v="NORMALE"/>
    <m/>
    <m/>
    <x v="0"/>
    <x v="0"/>
    <x v="0"/>
    <s v="SIÈGE CHAABI LLD"/>
    <m/>
    <m/>
    <m/>
    <m/>
  </r>
  <r>
    <d v="2025-01-03T15:14:26"/>
    <n v="1156361"/>
    <x v="0"/>
    <s v="AOIRDI"/>
    <s v="PROBLÈME RÉSEAU IP INVALIDE "/>
    <s v="PROBLÈME RÉSEAU IP INVALIDE (AOIRDI)"/>
    <s v="NORMALE"/>
    <m/>
    <m/>
    <x v="0"/>
    <x v="2"/>
    <x v="0"/>
    <s v="SIÈGE CHAABI LLD"/>
    <m/>
    <m/>
    <m/>
    <m/>
  </r>
  <r>
    <d v="2025-01-03T15:13:50"/>
    <n v="1156360"/>
    <x v="0"/>
    <s v="AHARI"/>
    <s v="CHANGEMENT DE TONER IMPRIMANTE ÉTAGE "/>
    <s v="CHANGEMENT DE TONER IMPRIMANTE ÉTAGE (AHARI)"/>
    <s v="NORMALE"/>
    <m/>
    <m/>
    <x v="2"/>
    <x v="0"/>
    <x v="0"/>
    <s v="SIÈGE CHAABI LLD"/>
    <m/>
    <m/>
    <m/>
    <m/>
  </r>
  <r>
    <d v="2025-01-03T15:13:20"/>
    <n v="1156359"/>
    <x v="0"/>
    <s v="AGENT VO"/>
    <s v="AFFECTATION DE CODE L'IMPRIMANTE"/>
    <s v="AFFECTATION DE CODE L'IMPRIMANTE (AGENT VO)"/>
    <s v="NORMALE"/>
    <m/>
    <m/>
    <x v="2"/>
    <x v="0"/>
    <x v="0"/>
    <s v="SIÈGE CHAABI LLD"/>
    <m/>
    <m/>
    <m/>
    <m/>
  </r>
  <r>
    <d v="2025-01-03T15:12:42"/>
    <n v="1156358"/>
    <x v="0"/>
    <s v="SAMRANI"/>
    <s v="INSTALLATION DE NOUVEAU FIRMWARE  SUE L'IMPRIMANTE COULEUR (SAMRANI)"/>
    <s v="INSTALLATION DE NOUVEAU FIRMWARE  SUE L'IMPRIMANTE COULEUR (SAMRANI)"/>
    <s v="NORMALE"/>
    <m/>
    <m/>
    <x v="2"/>
    <x v="0"/>
    <x v="0"/>
    <s v="SIÈGE CHAABI LLD"/>
    <m/>
    <m/>
    <m/>
    <m/>
  </r>
  <r>
    <d v="2025-01-03T15:11:47"/>
    <n v="1156357"/>
    <x v="0"/>
    <s v="MMARDI"/>
    <s v="CHANGEMENT DE TONER IMPRIMANTE DAF "/>
    <s v="CHANGEMENT DE TONER IMPRIMANTE DAF (MMARDI)"/>
    <s v="NORMALE"/>
    <m/>
    <m/>
    <x v="2"/>
    <x v="0"/>
    <x v="0"/>
    <s v="SIÈGE CHAABI LLD"/>
    <m/>
    <m/>
    <m/>
    <m/>
  </r>
  <r>
    <d v="2025-01-03T15:11:19"/>
    <n v="1156356"/>
    <x v="0"/>
    <s v="NWATIK"/>
    <s v="LA RÉCUPÉRATION DES ARCHIVES "/>
    <s v="LA RÉCUPÉRATION DES ARCHIVES (NWATIK)"/>
    <s v="NORMALE"/>
    <m/>
    <m/>
    <x v="0"/>
    <x v="4"/>
    <x v="0"/>
    <s v="SIÈGE CHAABI LLD"/>
    <m/>
    <m/>
    <m/>
    <m/>
  </r>
  <r>
    <d v="2025-01-03T15:10:53"/>
    <n v="1156355"/>
    <x v="0"/>
    <s v="NWATIK"/>
    <s v="PROBLÈME DE LA RECHERCHE DES ANCIENS EMAIL "/>
    <s v="PROBLÈME DE LA RECHERCHE DES ANCIENS EMAIL (NWATIK)"/>
    <s v="NORMALE"/>
    <m/>
    <m/>
    <x v="0"/>
    <x v="4"/>
    <x v="0"/>
    <s v="SIÈGE CHAABI LLD"/>
    <m/>
    <m/>
    <m/>
    <m/>
  </r>
  <r>
    <d v="2025-01-03T15:08:24"/>
    <n v="1156354"/>
    <x v="0"/>
    <s v="MELBOURKI"/>
    <s v="PROBLÈME D'OUVERTURE OUTLOOK"/>
    <s v="PROBLÈME D'OUVERTURE OUTLOOK (MELBOURKI)"/>
    <s v="NORMALE"/>
    <m/>
    <m/>
    <x v="0"/>
    <x v="4"/>
    <x v="0"/>
    <s v="SIÈGE CHAABI LLD"/>
    <m/>
    <m/>
    <m/>
    <m/>
  </r>
  <r>
    <d v="2025-01-03T15:04:39"/>
    <n v="1156353"/>
    <x v="0"/>
    <s v="AHARI"/>
    <s v="CRÉATION DE BON DE COMMANDE "/>
    <s v="CRÉATION DE BON DE COMMANDE (AHARI)"/>
    <s v="NORMALE"/>
    <m/>
    <m/>
    <x v="1"/>
    <x v="1"/>
    <x v="0"/>
    <s v="SIÈGE CHAABI LLD"/>
    <m/>
    <m/>
    <m/>
    <m/>
  </r>
  <r>
    <d v="2025-01-03T15:04:09"/>
    <n v="1156352"/>
    <x v="0"/>
    <s v="ACHADLI"/>
    <s v="RÉPARATION DE POSTE + INSTALLATION DE WINDOWS 11 "/>
    <s v="RÉPARATION DE POSTE + INSTALLATION DE WINDOWS 11 (ACHADLI)"/>
    <s v="NORMALE"/>
    <m/>
    <m/>
    <x v="0"/>
    <x v="0"/>
    <x v="0"/>
    <s v="SIÈGE CHAABI LLD"/>
    <m/>
    <m/>
    <m/>
    <m/>
  </r>
  <r>
    <d v="2025-01-03T15:03:16"/>
    <n v="1156351"/>
    <x v="0"/>
    <s v="AMOUSSAID"/>
    <s v="RÉPARATION DE POSTE FICHE USB N'EST PAS FONCTIONNELLE"/>
    <s v="RÉPARATION DE POSTE FICHE USB N'EST PAS FONCTIONNELLE (AMOUSSAID)"/>
    <s v="NORMALE"/>
    <m/>
    <m/>
    <x v="0"/>
    <x v="0"/>
    <x v="0"/>
    <s v="SIÈGE CHAABI LLD"/>
    <m/>
    <m/>
    <m/>
    <m/>
  </r>
  <r>
    <d v="2025-01-03T15:02:22"/>
    <n v="1156349"/>
    <x v="0"/>
    <s v="AHARI"/>
    <s v="PRÉPARATION DE LA FICHE D'INVENTAIRE 2024"/>
    <s v="PRÉPARATION DE LA FICHE D'INVENTAIRE 2024 (AHARI)"/>
    <s v="NORMALE"/>
    <m/>
    <m/>
    <x v="2"/>
    <x v="0"/>
    <x v="0"/>
    <s v="SIÈGE CHAABI LLD"/>
    <m/>
    <m/>
    <m/>
    <m/>
  </r>
  <r>
    <d v="2025-01-03T15:01:49"/>
    <n v="1156348"/>
    <x v="1"/>
    <s v="AFARIH"/>
    <s v="PROBLÈME DE LA RELATION D'APPROBATION "/>
    <s v="PROBLÈME DE LA RELATION D'APPROBATION (AFARIH)"/>
    <s v="NORMALE"/>
    <m/>
    <m/>
    <x v="0"/>
    <x v="9"/>
    <x v="0"/>
    <s v="SIÈGE CHAABI LLD"/>
    <m/>
    <m/>
    <m/>
    <m/>
  </r>
  <r>
    <d v="2025-01-03T15:01:04"/>
    <n v="1156347"/>
    <x v="0"/>
    <s v="ACHADLI"/>
    <s v="RÉPARATION + PRÉPARATION DE POSTE  "/>
    <s v="RÉPARATION + PRÉPARATION DE POSTE  (ACHADLI)"/>
    <s v="NORMALE"/>
    <m/>
    <m/>
    <x v="0"/>
    <x v="0"/>
    <x v="0"/>
    <s v="SIÈGE CHAABI LLD"/>
    <m/>
    <m/>
    <m/>
    <m/>
  </r>
  <r>
    <d v="2025-01-03T15:00:32"/>
    <n v="1156346"/>
    <x v="0"/>
    <s v="AFARIH"/>
    <s v="FOURNITURE DE BUREAU "/>
    <s v="FOURNITURE DE BUREAU (AFARIH)"/>
    <s v="NORMALE"/>
    <m/>
    <m/>
    <x v="1"/>
    <x v="1"/>
    <x v="0"/>
    <s v="SIÈGE CHAABI LLD"/>
    <m/>
    <m/>
    <m/>
    <m/>
  </r>
  <r>
    <d v="2025-01-03T15:00:06"/>
    <n v="1156345"/>
    <x v="0"/>
    <s v="MELBOURKI"/>
    <s v="PROBLÈME D'IMPRIMANTE COULEUR N'EST PAS FONCTIONNELLE"/>
    <s v="PROBLÈME D'IMPRIMANTE COULEUR N'EST PAS FONCTIONNELLE (MELBOURKI)"/>
    <s v="NORMALE"/>
    <m/>
    <m/>
    <x v="0"/>
    <x v="0"/>
    <x v="0"/>
    <s v="SIÈGE CHAABI LLD"/>
    <m/>
    <m/>
    <m/>
    <m/>
  </r>
  <r>
    <d v="2025-01-03T14:59:11"/>
    <n v="1156344"/>
    <x v="0"/>
    <s v="ACHADLI"/>
    <s v="RÉPARATION D'ORDINATEUR +FORMATAGE "/>
    <s v="RÉPARATION D'ORDINATEUR +FORMATAGE (ACHADLI)"/>
    <s v="NORMALE"/>
    <m/>
    <m/>
    <x v="0"/>
    <x v="0"/>
    <x v="0"/>
    <s v="SIÈGE CHAABI LLD"/>
    <m/>
    <m/>
    <m/>
    <m/>
  </r>
  <r>
    <d v="2025-01-03T14:58:11"/>
    <n v="1156343"/>
    <x v="0"/>
    <s v="FBELKHROUF"/>
    <s v="ARCHIVAGE OUTLOOK"/>
    <s v="ARCHIVAGE OUTLOOK (FBELKHROUF)"/>
    <s v="NORMALE"/>
    <m/>
    <m/>
    <x v="3"/>
    <x v="4"/>
    <x v="0"/>
    <s v="SIÈGE CHAABI LLD"/>
    <m/>
    <m/>
    <m/>
    <m/>
  </r>
  <r>
    <d v="2025-01-03T14:57:48"/>
    <n v="1156342"/>
    <x v="0"/>
    <s v="AMOUSSAID"/>
    <s v="NETTOYAGE EST MISE A JOUR D'ORDINATEUR "/>
    <s v="NETTOYAGE EST MISE A JOUR D'ORDINATEUR (AMOUSSAID)"/>
    <s v="NORMALE"/>
    <m/>
    <m/>
    <x v="0"/>
    <x v="0"/>
    <x v="0"/>
    <s v="SIÈGE CHAABI LLD"/>
    <m/>
    <m/>
    <m/>
    <m/>
  </r>
  <r>
    <d v="2025-01-03T14:56:56"/>
    <n v="1156341"/>
    <x v="0"/>
    <s v="AMAHBOUB"/>
    <s v="PROBLÈME D2MARRAGE DE LAPTOP "/>
    <s v="PROBLÈME D2MARRAGE DE LAPTOP (AMAHBOUB)"/>
    <s v="NORMALE"/>
    <m/>
    <m/>
    <x v="0"/>
    <x v="0"/>
    <x v="0"/>
    <s v="SIÈGE CHAABI LLD"/>
    <m/>
    <m/>
    <m/>
    <m/>
  </r>
  <r>
    <d v="2025-01-03T14:56:25"/>
    <n v="1156340"/>
    <x v="0"/>
    <s v="YTAFALLOUST"/>
    <s v="PROBLÈME D'ORDINATEUR TRÈS LENT "/>
    <s v="PROBLÈME D'ORDINATEUR TRÈS LENT (YTAFALLOUST)"/>
    <s v="NORMALE"/>
    <m/>
    <m/>
    <x v="0"/>
    <x v="0"/>
    <x v="0"/>
    <s v="SIÈGE CHAABI LLD"/>
    <m/>
    <m/>
    <m/>
    <m/>
  </r>
  <r>
    <d v="2025-01-03T14:55:12"/>
    <n v="1156339"/>
    <x v="0"/>
    <s v="AMOUSSAID"/>
    <s v="CONFIGURATION SAGE "/>
    <s v="CONFIGURATION SAGE (AMOUSSAID)"/>
    <s v="NORMALE"/>
    <m/>
    <m/>
    <x v="5"/>
    <x v="10"/>
    <x v="0"/>
    <s v="SIÈGE CHAABI LLD"/>
    <m/>
    <m/>
    <m/>
    <m/>
  </r>
  <r>
    <d v="2025-01-02T10:17:00"/>
    <n v="1"/>
    <x v="0"/>
    <s v="IBABA"/>
    <s v="Merci de trouver en PJ la liste des véhicules disponible à la vente."/>
    <m/>
    <s v="NORMALE"/>
    <m/>
    <s v="ARECHDAOUI"/>
    <x v="3"/>
    <x v="10"/>
    <x v="0"/>
    <s v="SIÈGE CHAABI LLD"/>
    <m/>
    <m/>
    <m/>
    <m/>
  </r>
  <r>
    <d v="2025-01-02T10:41:00"/>
    <n v="2"/>
    <x v="0"/>
    <s v="IBABA"/>
    <s v="Envois SMS VO"/>
    <m/>
    <m/>
    <m/>
    <s v="SAMRANI"/>
    <x v="3"/>
    <x v="10"/>
    <x v="0"/>
    <s v="SIÈGE CHAABI LLD"/>
    <m/>
    <m/>
    <m/>
    <m/>
  </r>
  <r>
    <d v="2025-01-02T16:01:00"/>
    <n v="3"/>
    <x v="0"/>
    <s v="ABOUMAHDI"/>
    <s v="Prière de me communiquer le rapport des appels du mois de décembre"/>
    <m/>
    <m/>
    <m/>
    <s v="ARECHDAOUI"/>
    <x v="6"/>
    <x v="11"/>
    <x v="0"/>
    <s v="SIÈGE CHAABI LLD"/>
    <m/>
    <m/>
    <m/>
    <m/>
  </r>
  <r>
    <d v="2025-01-03T12:04:00"/>
    <n v="4"/>
    <x v="0"/>
    <s v="TYounouss "/>
    <s v="Prière de déposer la facture REGION TANGER TETOUAN AL HOCIEMA DEC 2024"/>
    <m/>
    <m/>
    <m/>
    <s v="ARECHDAOUI"/>
    <x v="3"/>
    <x v="7"/>
    <x v="0"/>
    <s v="SIÈGE CHAABI LLD"/>
    <m/>
    <m/>
    <m/>
    <m/>
  </r>
  <r>
    <d v="2025-01-03T12:18:00"/>
    <n v="5"/>
    <x v="0"/>
    <s v="ARECHDAOUI"/>
    <s v="Amélioration workflow factures fournisseur"/>
    <m/>
    <m/>
    <m/>
    <s v="ARECHDAOUI"/>
    <x v="4"/>
    <x v="10"/>
    <x v="0"/>
    <s v="SIÈGE CHAABI LLD"/>
    <m/>
    <m/>
    <m/>
    <m/>
  </r>
  <r>
    <d v="2025-01-03T14:54:00"/>
    <n v="6"/>
    <x v="0"/>
    <s v="ARECHDAOUI"/>
    <s v="Test initial application convoyage sur tablette"/>
    <m/>
    <m/>
    <m/>
    <s v="ARECHDAOUI"/>
    <x v="7"/>
    <x v="10"/>
    <x v="0"/>
    <s v="SIÈGE CHAABI LLD"/>
    <m/>
    <m/>
    <m/>
    <m/>
  </r>
  <r>
    <d v="2025-01-03T16:39:00"/>
    <n v="7"/>
    <x v="0"/>
    <s v="AFARIH"/>
    <s v="Réintégration des véhicules cédés : 76792-E-6 sur locpro"/>
    <m/>
    <m/>
    <m/>
    <s v="ARECHDAOUI"/>
    <x v="8"/>
    <x v="10"/>
    <x v="0"/>
    <s v="SIÈGE CHAABI LLD"/>
    <m/>
    <m/>
    <m/>
    <m/>
  </r>
  <r>
    <d v="2025-01-03T17:43:00"/>
    <n v="8"/>
    <x v="1"/>
    <s v="IBABA"/>
    <s v="Chaabilldocaz : Problème caution"/>
    <m/>
    <m/>
    <m/>
    <s v="ARECHDAOUI"/>
    <x v="0"/>
    <x v="10"/>
    <x v="0"/>
    <s v="SIÈGE CHAABI LLD"/>
    <m/>
    <m/>
    <m/>
    <m/>
  </r>
  <r>
    <d v="2025-01-06T14:20:00"/>
    <n v="9"/>
    <x v="0"/>
    <s v="ABOUMAHDI"/>
    <s v="créer une session LOCPRO pour l’agent CRC Mlle OUMAIMA LAFDOULI"/>
    <m/>
    <m/>
    <m/>
    <s v="ARECHDAOUI"/>
    <x v="8"/>
    <x v="10"/>
    <x v="0"/>
    <s v="SIÈGE CHAABI LLD"/>
    <m/>
    <m/>
    <m/>
    <m/>
  </r>
  <r>
    <d v="2025-01-06T15:01:00"/>
    <n v="10"/>
    <x v="0"/>
    <s v="AOIRDI"/>
    <s v="Affecter les demandes préventives à ANAS OIRDI sur locpro"/>
    <m/>
    <m/>
    <m/>
    <s v="ARECHDAOUI"/>
    <x v="8"/>
    <x v="10"/>
    <x v="0"/>
    <s v="SIÈGE CHAABI LLD"/>
    <m/>
    <m/>
    <m/>
    <m/>
  </r>
  <r>
    <d v="2025-01-08T14:22:00"/>
    <n v="11"/>
    <x v="0"/>
    <s v="ZAOUNI"/>
    <s v="Accès à ONEBASE est bloqué"/>
    <m/>
    <m/>
    <m/>
    <s v="ARECHDAOUI"/>
    <x v="0"/>
    <x v="10"/>
    <x v="0"/>
    <s v="SIÈGE CHAABI LLD"/>
    <m/>
    <m/>
    <m/>
    <m/>
  </r>
  <r>
    <d v="2025-01-08T14:59:00"/>
    <n v="12"/>
    <x v="0"/>
    <s v="SELGHIOUAN"/>
    <s v="MSA du récapitulatif commercial au titre de l’exercice 2025 sur locpro"/>
    <m/>
    <m/>
    <m/>
    <s v="ARECHDAOUI"/>
    <x v="3"/>
    <x v="10"/>
    <x v="0"/>
    <s v="SIÈGE CHAABI LLD"/>
    <m/>
    <m/>
    <m/>
    <m/>
  </r>
  <r>
    <d v="2025-01-10T13:48:00"/>
    <n v="13"/>
    <x v="0"/>
    <s v="GMESK"/>
    <s v="Faire sortir du parc les VHs : 76792-E-6 sur locpro"/>
    <m/>
    <m/>
    <m/>
    <s v="ARECHDAOUI"/>
    <x v="8"/>
    <x v="10"/>
    <x v="0"/>
    <s v="SIÈGE CHAABI LLD"/>
    <m/>
    <m/>
    <m/>
    <m/>
  </r>
  <r>
    <d v="2025-01-15T08:19:00"/>
    <n v="14"/>
    <x v="0"/>
    <s v="IBABA"/>
    <s v="Import de la liste des véhicules disponible à la vente sur platforme chaabilldocaz"/>
    <m/>
    <m/>
    <m/>
    <s v="ARECHDAOUI"/>
    <x v="3"/>
    <x v="10"/>
    <x v="0"/>
    <s v="SIÈGE CHAABI LLD"/>
    <m/>
    <m/>
    <m/>
    <m/>
  </r>
  <r>
    <d v="2025-01-15T08:51:00"/>
    <n v="15"/>
    <x v="0"/>
    <s v="IBABA"/>
    <s v="SMS VO"/>
    <m/>
    <m/>
    <m/>
    <s v="SAMRANI"/>
    <x v="3"/>
    <x v="10"/>
    <x v="0"/>
    <s v="SIÈGE CHAABI LLD"/>
    <m/>
    <m/>
    <m/>
    <m/>
  </r>
  <r>
    <d v="2025-01-15T14:52:00"/>
    <n v="16"/>
    <x v="0"/>
    <s v="MHAZM"/>
    <s v="Problème dotation de pneu"/>
    <m/>
    <m/>
    <m/>
    <s v="ARECHDAOUI"/>
    <x v="0"/>
    <x v="10"/>
    <x v="0"/>
    <s v="SIÈGE CHAABI LLD"/>
    <m/>
    <m/>
    <m/>
    <m/>
  </r>
  <r>
    <d v="2025-01-20T09:18:00"/>
    <n v="17"/>
    <x v="0"/>
    <s v="ABOUMAHDI"/>
    <s v="M. OUSSAMA, agent CRC, a été affecté à la Direction Technique en tant que TSAV. "/>
    <m/>
    <m/>
    <m/>
    <s v="ARECHDAOUI"/>
    <x v="8"/>
    <x v="10"/>
    <x v="0"/>
    <s v="SIÈGE CHAABI LLD"/>
    <m/>
    <m/>
    <m/>
    <m/>
  </r>
  <r>
    <d v="2025-01-24T13:54:00"/>
    <n v="18"/>
    <x v="0"/>
    <s v="RACHBAK"/>
    <s v="désaffecter le VH 50530-A-10"/>
    <m/>
    <m/>
    <m/>
    <s v="ARECHDAOUI"/>
    <x v="8"/>
    <x v="10"/>
    <x v="0"/>
    <s v="SIÈGE CHAABI LLD"/>
    <m/>
    <m/>
    <m/>
    <m/>
  </r>
  <r>
    <d v="2025-01-24T17:35:00"/>
    <n v="19"/>
    <x v="0"/>
    <s v="MBENALI"/>
    <s v="Problème dotation de pneu"/>
    <m/>
    <m/>
    <m/>
    <s v="ARECHDAOUI"/>
    <x v="0"/>
    <x v="10"/>
    <x v="0"/>
    <s v="SIÈGE CHAABI LLD"/>
    <m/>
    <m/>
    <m/>
    <m/>
  </r>
  <r>
    <n v="28"/>
    <n v="20"/>
    <x v="0"/>
    <s v="NAWAL CHARIFI"/>
    <s v="INCIDENT NON RECEPTION DES EMAIL"/>
    <s v="INCIDENT NON RECEPTION DES EMAIL ( NAWAL CHARIFI )"/>
    <m/>
    <s v="NON URGENT"/>
    <s v="AMINE FALIH"/>
    <x v="2"/>
    <x v="4"/>
    <x v="0"/>
    <s v="SIÈGE CHAABI LLD"/>
    <m/>
    <m/>
    <m/>
    <m/>
  </r>
  <r>
    <n v="28"/>
    <n v="21"/>
    <x v="0"/>
    <s v="NAWAL CHARIFI"/>
    <s v="INCIDENT POSTE"/>
    <s v="INCIDENT POSTE ( NAWAL CHARIFI )"/>
    <m/>
    <s v="NON URGENT"/>
    <s v="AMINE FALIH"/>
    <x v="0"/>
    <x v="0"/>
    <x v="0"/>
    <s v="SIÈGE CHAABI LLD"/>
    <m/>
    <m/>
    <m/>
    <m/>
  </r>
  <r>
    <n v="28"/>
    <n v="22"/>
    <x v="0"/>
    <s v="AMINE FALIH"/>
    <s v="DEMANDE LICENCE SAGE"/>
    <s v="DEMANDE LICENCE SAGE ( AMINE FALIH )"/>
    <m/>
    <s v="NON URGENT"/>
    <s v="AMINE FALIH"/>
    <x v="2"/>
    <x v="10"/>
    <x v="0"/>
    <s v="SIÈGE CHAABI LLD"/>
    <m/>
    <m/>
    <m/>
    <m/>
  </r>
  <r>
    <n v="28"/>
    <n v="23"/>
    <x v="0"/>
    <s v="AFALIH"/>
    <s v="BLACK LISTE SPAM ( AMINE FALIH )"/>
    <s v="BLACK LISTE SPAM ( AMINE FALIH )"/>
    <m/>
    <s v="NON URGENT"/>
    <s v="AMINE FALIH"/>
    <x v="2"/>
    <x v="4"/>
    <x v="0"/>
    <s v="SIÈGE CHAABI LLD"/>
    <m/>
    <m/>
    <m/>
    <m/>
  </r>
  <r>
    <n v="27"/>
    <n v="24"/>
    <x v="0"/>
    <s v="AFALIH"/>
    <s v="TEST ASTREINTE"/>
    <s v="TEST ASTREINTE"/>
    <m/>
    <s v="NON URGENT"/>
    <s v="AMINE FALIH"/>
    <x v="2"/>
    <x v="10"/>
    <x v="0"/>
    <s v="SIÈGE CHAABI LLD"/>
    <m/>
    <m/>
    <m/>
    <m/>
  </r>
  <r>
    <n v="27"/>
    <n v="25"/>
    <x v="0"/>
    <s v="AFALIH"/>
    <s v="CHANGEMENT ASTREINTE"/>
    <s v="CHANGEMENT ASTREINTE"/>
    <m/>
    <s v="NON URGENT"/>
    <s v="AMINE FALIH"/>
    <x v="2"/>
    <x v="10"/>
    <x v="0"/>
    <s v="SIÈGE CHAABI LLD"/>
    <m/>
    <m/>
    <m/>
    <m/>
  </r>
  <r>
    <n v="27"/>
    <n v="26"/>
    <x v="0"/>
    <s v="IMANE ZAIDANE"/>
    <s v="INCIDENT IMPRESSION"/>
    <s v="INCIDENT IMPRESSION ( IMANE ZAIDANE )"/>
    <m/>
    <s v="NON URGENT"/>
    <s v="AMINE FALIH"/>
    <x v="0"/>
    <x v="0"/>
    <x v="0"/>
    <s v="SIÈGE CHAABI LLD"/>
    <m/>
    <m/>
    <m/>
    <m/>
  </r>
  <r>
    <n v="27"/>
    <n v="27"/>
    <x v="0"/>
    <s v="SI"/>
    <s v="COMMANDE TICKET"/>
    <s v="COMMANDE TICKET ( SI )"/>
    <m/>
    <s v="NON URGENT"/>
    <s v="AMINE FALIH"/>
    <x v="1"/>
    <x v="1"/>
    <x v="0"/>
    <s v="SIÈGE CHAABI LLD"/>
    <m/>
    <m/>
    <m/>
    <m/>
  </r>
  <r>
    <n v="24"/>
    <n v="28"/>
    <x v="0"/>
    <s v="ZAKARIA AOUNI"/>
    <s v="TRANSFERT DES EMAILS"/>
    <s v="TRANSFERT DES EMAILS ( ZAKARIA AOUNI )"/>
    <m/>
    <s v="NON URGENT"/>
    <s v="AMINE FALIH"/>
    <x v="2"/>
    <x v="4"/>
    <x v="0"/>
    <s v="SIÈGE CHAABI LLD"/>
    <m/>
    <m/>
    <m/>
    <m/>
  </r>
  <r>
    <n v="24"/>
    <n v="29"/>
    <x v="0"/>
    <s v="ZAKARIA AOUNI"/>
    <s v="MISE EN PLACE DU MESSAGE DE CONGES"/>
    <s v="MISE EN PLACE DU MESSAGE DE CONGES ( ZAKARIA AOUNI )"/>
    <m/>
    <s v="NON URGENT"/>
    <s v="AMINE FALIH"/>
    <x v="2"/>
    <x v="4"/>
    <x v="0"/>
    <s v="SIÈGE CHAABI LLD"/>
    <m/>
    <m/>
    <m/>
    <m/>
  </r>
  <r>
    <n v="24"/>
    <n v="30"/>
    <x v="0"/>
    <s v="AFALIH"/>
    <s v="DEMANDE DATE LIVRAISON COMMVAULT ( AMINE FALIH )"/>
    <s v="DEMANDE DATE LIVRAISON COMMVAULT ( AMINE FALIH )"/>
    <m/>
    <s v="NON URGENT"/>
    <s v="AMINE FALIH"/>
    <x v="2"/>
    <x v="0"/>
    <x v="0"/>
    <s v="SIÈGE CHAABI LLD"/>
    <m/>
    <m/>
    <m/>
    <m/>
  </r>
  <r>
    <n v="24"/>
    <n v="31"/>
    <x v="0"/>
    <s v="AYOUB AIT BAKHIL"/>
    <s v="INCIDENT D'IMPRESSION LIVRAISON "/>
    <s v="INCIDENT D'IMPRESSION LIVRAISON ( AYOUB AIT BAKHIL )"/>
    <m/>
    <s v="NON URGENT"/>
    <s v="AMINE FALIH"/>
    <x v="0"/>
    <x v="0"/>
    <x v="0"/>
    <s v="SIÈGE CHAABI LLD"/>
    <m/>
    <m/>
    <m/>
    <m/>
  </r>
  <r>
    <n v="24"/>
    <n v="32"/>
    <x v="0"/>
    <s v="IMANE ZAIDANE"/>
    <s v="DEMANDE 3 CLE USB"/>
    <s v="DEMANDE 3 CLE USB ( IMANE ZAIDANE )"/>
    <m/>
    <s v="NON URGENT"/>
    <s v="AMINE FALIH"/>
    <x v="1"/>
    <x v="1"/>
    <x v="0"/>
    <s v="SIÈGE CHAABI LLD"/>
    <m/>
    <m/>
    <m/>
    <m/>
  </r>
  <r>
    <n v="24"/>
    <n v="33"/>
    <x v="0"/>
    <s v="AMINE FALIH"/>
    <s v="INCIDENT DE RECEPTION D'EMAIL CHAABIOCCAZ"/>
    <s v="INCIDENT DE RECEPTION D'EMAIL CHAABIOCCAZ ( AMINE FALIH )"/>
    <m/>
    <s v="NON URGENT"/>
    <s v="AMINE FALIH"/>
    <x v="0"/>
    <x v="4"/>
    <x v="0"/>
    <s v="SIÈGE CHAABI LLD"/>
    <m/>
    <m/>
    <m/>
    <m/>
  </r>
  <r>
    <n v="23"/>
    <n v="34"/>
    <x v="0"/>
    <s v="AMINE FALIH"/>
    <s v="PLANNIFICATION REUNION NUCLEON"/>
    <s v="PLANNIFICATION REUNION NUCLEON ( AMINE FALIH )"/>
    <m/>
    <s v="NON URGENT"/>
    <s v="AMINE FALIH"/>
    <x v="2"/>
    <x v="7"/>
    <x v="0"/>
    <s v="SIÈGE CHAABI LLD"/>
    <m/>
    <m/>
    <m/>
    <m/>
  </r>
  <r>
    <n v="23"/>
    <n v="35"/>
    <x v="0"/>
    <s v="CRC"/>
    <s v="INCIDENT GADGET HISTORIQUE FINESSE"/>
    <s v="INCIDENT GADGET HISTORIQUE FINESSE ( CRC )"/>
    <m/>
    <s v="NON URGENT"/>
    <s v="AMINE FALIH"/>
    <x v="0"/>
    <x v="0"/>
    <x v="0"/>
    <s v="SIÈGE CHAABI LLD"/>
    <m/>
    <m/>
    <m/>
    <m/>
  </r>
  <r>
    <n v="23"/>
    <n v="36"/>
    <x v="0"/>
    <s v="AMINE FALIH"/>
    <s v="BLACK LISTE SPAM"/>
    <s v="BLACK LISTE SPAM ( AMINE FALIH )"/>
    <m/>
    <s v="NON URGENT"/>
    <s v="AMINE FALIH"/>
    <x v="2"/>
    <x v="4"/>
    <x v="0"/>
    <s v="SIÈGE CHAABI LLD"/>
    <m/>
    <m/>
    <m/>
    <m/>
  </r>
  <r>
    <n v="23"/>
    <n v="37"/>
    <x v="0"/>
    <s v="AFALIH"/>
    <s v="BLACK LISTE SPAM ( AMINE FALIH )"/>
    <s v="BLACK LISTE SPAM ( AMINE FALIH )"/>
    <m/>
    <s v="NON URGENT"/>
    <s v="AMINE FALIH"/>
    <x v="2"/>
    <x v="4"/>
    <x v="0"/>
    <s v="SIÈGE CHAABI LLD"/>
    <m/>
    <m/>
    <m/>
    <m/>
  </r>
  <r>
    <n v="21"/>
    <n v="38"/>
    <x v="0"/>
    <s v="AFALIH"/>
    <s v="DEMANDE LOGS SWITCHS ( AMINE FALIH )"/>
    <s v="DEMANDE LOGS SWITCHS ( AMINE FALIH )"/>
    <m/>
    <s v="NON URGENT"/>
    <s v="AMINE FALIH"/>
    <x v="2"/>
    <x v="0"/>
    <x v="0"/>
    <s v="SIÈGE CHAABI LLD"/>
    <m/>
    <m/>
    <m/>
    <m/>
  </r>
  <r>
    <n v="21"/>
    <n v="39"/>
    <x v="0"/>
    <s v="AFALIH"/>
    <s v="REUNION CYBERFORCE ( AMINE FALIH )"/>
    <s v="REUNION CYBERFORCE ( AMINE FALIH )"/>
    <m/>
    <s v="NON URGENT"/>
    <s v="AMINE FALIH"/>
    <x v="2"/>
    <x v="7"/>
    <x v="0"/>
    <s v="SIÈGE CHAABI LLD"/>
    <m/>
    <m/>
    <m/>
    <m/>
  </r>
  <r>
    <n v="20"/>
    <n v="40"/>
    <x v="0"/>
    <s v="AFALIH"/>
    <s v="TEST ASTREINTE"/>
    <s v="TEST ASTREINTE"/>
    <m/>
    <s v="NON URGENT"/>
    <s v="AMINE FALIH"/>
    <x v="3"/>
    <x v="10"/>
    <x v="0"/>
    <s v="SIÈGE CHAABI LLD"/>
    <m/>
    <m/>
    <m/>
    <m/>
  </r>
  <r>
    <n v="20"/>
    <n v="41"/>
    <x v="0"/>
    <s v="AFALIH"/>
    <s v="CHANGEMENT ASTREINTE"/>
    <s v="CHANGEMENT ASTREINTE"/>
    <m/>
    <s v="NON URGENT"/>
    <s v="AMINE FALIH"/>
    <x v="3"/>
    <x v="10"/>
    <x v="0"/>
    <s v="SIÈGE CHAABI LLD"/>
    <m/>
    <m/>
    <m/>
    <m/>
  </r>
  <r>
    <n v="20"/>
    <n v="42"/>
    <x v="0"/>
    <s v=" TOUTLEMONDE"/>
    <s v="INCIDENT INDEXATION DES EMAIL ( TOUTLEMONDE )"/>
    <s v="INCIDENT INDEXATION DES EMAIL ( TOUTLEMONDE )"/>
    <m/>
    <s v="NON URGENT"/>
    <s v="AMINE FALIH"/>
    <x v="0"/>
    <x v="4"/>
    <x v="0"/>
    <s v="SIÈGE CHAABI LLD"/>
    <m/>
    <m/>
    <m/>
    <m/>
  </r>
  <r>
    <n v="20"/>
    <n v="43"/>
    <x v="0"/>
    <s v="AFALIH"/>
    <s v="BLACK LISTE SPAM ( AMINE FALIH )"/>
    <s v="BLACK LISTE SPAM ( AMINE FALIH )"/>
    <m/>
    <s v="NON URGENT"/>
    <s v="AMINE FALIH"/>
    <x v="2"/>
    <x v="4"/>
    <x v="0"/>
    <s v="SIÈGE CHAABI LLD"/>
    <m/>
    <m/>
    <m/>
    <m/>
  </r>
  <r>
    <n v="17"/>
    <n v="44"/>
    <x v="0"/>
    <s v="HASNA BOUJMAD"/>
    <s v="ASSISTANCE COMPRESSION FICHIER ( HASNA BOUJMAD )"/>
    <s v="ASSISTANCE COMPRESSION FICHIER ( HASNA BOUJMAD )"/>
    <m/>
    <s v="NON URGENT"/>
    <s v="AMINE FALIH"/>
    <x v="3"/>
    <x v="7"/>
    <x v="0"/>
    <s v="SIÈGE CHAABI LLD"/>
    <m/>
    <m/>
    <m/>
    <m/>
  </r>
  <r>
    <n v="16"/>
    <n v="45"/>
    <x v="0"/>
    <s v="NADIA WATIK"/>
    <s v="INCIDENT CISCO ( NADIA WATIK )"/>
    <s v="INCIDENT CISCO ( NADIA WATIK )"/>
    <m/>
    <s v="NON URGENT"/>
    <s v="AMINE FALIH"/>
    <x v="0"/>
    <x v="6"/>
    <x v="0"/>
    <s v="SIÈGE CHAABI LLD"/>
    <m/>
    <m/>
    <m/>
    <m/>
  </r>
  <r>
    <n v="16"/>
    <n v="46"/>
    <x v="0"/>
    <s v="ADIL DOUMARI"/>
    <s v="INCIDENT OUTLOOK ( ADIL DOUMARI )"/>
    <s v="INCIDENT OUTLOOK ( ADIL DOUMARI )"/>
    <m/>
    <s v="NON URGENT"/>
    <s v="AMINE FALIH"/>
    <x v="0"/>
    <x v="4"/>
    <x v="0"/>
    <s v="SIÈGE CHAABI LLD"/>
    <m/>
    <m/>
    <m/>
    <m/>
  </r>
  <r>
    <n v="15"/>
    <n v="47"/>
    <x v="0"/>
    <s v="KAOUTAR CHAABI"/>
    <s v="INCIDENT RECHERCHE EMAILS ( KAOUTAR CHAABI )"/>
    <s v="INCIDENT RECHERCHE EMAILS ( KAOUTAR CHAABI )"/>
    <m/>
    <s v="NON URGENT"/>
    <s v="AMINE FALIH"/>
    <x v="0"/>
    <x v="4"/>
    <x v="0"/>
    <s v="SIÈGE CHAABI LLD"/>
    <m/>
    <m/>
    <m/>
    <m/>
  </r>
  <r>
    <n v="13"/>
    <n v="48"/>
    <x v="0"/>
    <s v="AFALIH"/>
    <s v="TEST ASTREINTE"/>
    <s v="TEST ASTREINTE"/>
    <m/>
    <s v="NON URGENT"/>
    <s v="AMINE FALIH"/>
    <x v="3"/>
    <x v="10"/>
    <x v="0"/>
    <s v="SIÈGE CHAABI LLD"/>
    <m/>
    <m/>
    <m/>
    <m/>
  </r>
  <r>
    <n v="13"/>
    <n v="49"/>
    <x v="0"/>
    <s v="AFALIH"/>
    <s v="CHANGEMENT ASTREINTE"/>
    <s v="CHANGEMENT ASTREINTE"/>
    <m/>
    <s v="NON URGENT"/>
    <s v="AMINE FALIH"/>
    <x v="3"/>
    <x v="10"/>
    <x v="0"/>
    <s v="SIÈGE CHAABI LLD"/>
    <m/>
    <m/>
    <m/>
    <m/>
  </r>
  <r>
    <n v="13"/>
    <n v="50"/>
    <x v="0"/>
    <s v=" YOUNESS TAFALLOUST"/>
    <s v="INCIDENT D'ACCES AGIRH ( YOUNESS TAFALLOUST )"/>
    <s v="INCIDENT D'ACCES AGIRH ( YOUNESS TAFALLOUST )"/>
    <m/>
    <s v="NON URGENT"/>
    <s v="AMINE FALIH"/>
    <x v="0"/>
    <x v="10"/>
    <x v="0"/>
    <s v="SIÈGE CHAABI LLD"/>
    <m/>
    <m/>
    <m/>
    <m/>
  </r>
  <r>
    <n v="13"/>
    <n v="51"/>
    <x v="0"/>
    <s v="AHMAD MOUNADI"/>
    <s v="INCIDENT D'ACCES AGIRH ( AHMAD MOUNADI )"/>
    <s v="INCIDENT D'ACCES AGIRH ( AHMAD MOUNADI )"/>
    <m/>
    <s v="NON URGENT"/>
    <s v="AMINE FALIH"/>
    <x v="0"/>
    <x v="10"/>
    <x v="0"/>
    <s v="SIÈGE CHAABI LLD"/>
    <m/>
    <m/>
    <m/>
    <m/>
  </r>
  <r>
    <n v="10"/>
    <n v="52"/>
    <x v="0"/>
    <s v="AFALIH"/>
    <s v="RETIRER ( IMANE AGNAOU ) DU GROUPE COMMERCIAL"/>
    <s v="RETIRER ( IMANE AGNAOU ) DU GROUPE COMMERCIAL"/>
    <m/>
    <s v="NON URGENT"/>
    <s v="AMINE FALIH"/>
    <x v="5"/>
    <x v="9"/>
    <x v="0"/>
    <s v="SIÈGE CHAABI LLD"/>
    <m/>
    <m/>
    <m/>
    <m/>
  </r>
  <r>
    <n v="10"/>
    <n v="53"/>
    <x v="0"/>
    <s v="AFALIH"/>
    <s v="BLACK LISTE SPAM ( AMINE FALIH )"/>
    <s v="BLACK LISTE SPAM ( AMINE FALIH )"/>
    <m/>
    <s v="NON URGENT"/>
    <s v="AMINE FALIH"/>
    <x v="2"/>
    <x v="4"/>
    <x v="0"/>
    <s v="SIÈGE CHAABI LLD"/>
    <m/>
    <m/>
    <m/>
    <m/>
  </r>
  <r>
    <n v="10"/>
    <n v="54"/>
    <x v="0"/>
    <s v="AHARI"/>
    <s v="INVENTAIRE SI ( SI )"/>
    <s v="INVENTAIRE SI ( SI )"/>
    <m/>
    <s v="NON URGENT"/>
    <s v="AMINE FALIH"/>
    <x v="2"/>
    <x v="0"/>
    <x v="0"/>
    <s v="SIÈGE CHAABI LLD"/>
    <m/>
    <m/>
    <m/>
    <m/>
  </r>
  <r>
    <n v="10"/>
    <n v="55"/>
    <x v="0"/>
    <s v="AFALIH"/>
    <s v="INSTALATION CATALYST C9200 ( AMINE FALIH )"/>
    <s v="INSTALATION CATALYST C9200 ( AMINE FALIH )"/>
    <m/>
    <s v="NON URGENT"/>
    <s v="AMINE FALIH"/>
    <x v="9"/>
    <x v="7"/>
    <x v="0"/>
    <s v="SIÈGE CHAABI LLD"/>
    <m/>
    <m/>
    <m/>
    <m/>
  </r>
  <r>
    <n v="10"/>
    <n v="56"/>
    <x v="0"/>
    <s v="AFALIH"/>
    <s v="CONFIGURATION CATALYST C9200 ( AMINE FALIH )"/>
    <s v="CONFIGURATION CATALYST C9200 ( AMINE FALIH )"/>
    <m/>
    <s v="NON URGENT"/>
    <s v="AMINE FALIH"/>
    <x v="5"/>
    <x v="7"/>
    <x v="0"/>
    <s v="SIÈGE CHAABI LLD"/>
    <m/>
    <m/>
    <m/>
    <m/>
  </r>
  <r>
    <n v="10"/>
    <n v="57"/>
    <x v="0"/>
    <s v="AFALIH"/>
    <s v="BLACK LISTE SPAM ( AMINE FALIH )"/>
    <s v="BLACK LISTE SPAM ( AMINE FALIH )"/>
    <m/>
    <s v="NON URGENT"/>
    <s v="AMINE FALIH"/>
    <x v="2"/>
    <x v="4"/>
    <x v="0"/>
    <s v="SIÈGE CHAABI LLD"/>
    <m/>
    <m/>
    <m/>
    <m/>
  </r>
  <r>
    <n v="10"/>
    <n v="58"/>
    <x v="0"/>
    <s v="NAWAL CHARIFI"/>
    <s v="DEMANDE DEVIS POSTE ( NAWAL CHARIFI )"/>
    <s v="DEMANDE DEVIS POSTE ( NAWAL CHARIFI )"/>
    <m/>
    <s v="NON URGENT"/>
    <s v="AMINE FALIH"/>
    <x v="2"/>
    <x v="0"/>
    <x v="0"/>
    <s v="SIÈGE CHAABI LLD"/>
    <m/>
    <m/>
    <m/>
    <m/>
  </r>
  <r>
    <n v="10"/>
    <n v="59"/>
    <x v="0"/>
    <s v="AFALIH"/>
    <s v="DEMANDE DEVIS 10 POSTE DESK ( AMINE FALIH )"/>
    <s v="DEMANDE DEVIS 10 POSTE DESK ( AMINE FALIH )"/>
    <m/>
    <s v="NON URGENT"/>
    <s v="AMINE FALIH"/>
    <x v="2"/>
    <x v="0"/>
    <x v="0"/>
    <s v="SIÈGE CHAABI LLD"/>
    <m/>
    <m/>
    <m/>
    <m/>
  </r>
  <r>
    <n v="10"/>
    <n v="60"/>
    <x v="0"/>
    <s v="AFALIH"/>
    <s v="DEMANDE DEVIS LICENCE VMWARE ( AMINE FALIH )"/>
    <s v="DEMANDE DEVIS LICENCE VMWARE ( AMINE FALIH )"/>
    <m/>
    <s v="NON URGENT"/>
    <s v="AMINE FALIH"/>
    <x v="2"/>
    <x v="0"/>
    <x v="0"/>
    <s v="SIÈGE CHAABI LLD"/>
    <m/>
    <m/>
    <m/>
    <m/>
  </r>
  <r>
    <n v="9"/>
    <n v="61"/>
    <x v="0"/>
    <s v="AFALIH"/>
    <s v="CREATION PRESENTATION EXTENSION DES RESSOURCES IT ( AMINE FALIH )"/>
    <s v="CREATION PRESENTATION EXTENSION DES RESSOURCES IT ( AMINE FALIH )"/>
    <m/>
    <s v="NON URGENT"/>
    <s v="AMINE FALIH"/>
    <x v="2"/>
    <x v="2"/>
    <x v="0"/>
    <s v="SIÈGE CHAABI LLD"/>
    <m/>
    <m/>
    <m/>
    <m/>
  </r>
  <r>
    <n v="9"/>
    <n v="62"/>
    <x v="0"/>
    <s v="AFALIH"/>
    <s v="EMAIL DE SENSABILISATION A LA SECURITE DE NOS SYSTEMES ( AMINE FALIH )"/>
    <s v="EMAIL DE SENSABILISATION A LA SECURITE DE NOS SYSTEMES ( AMINE FALIH )"/>
    <m/>
    <s v="NON URGENT"/>
    <s v="AMINE FALIH"/>
    <x v="10"/>
    <x v="12"/>
    <x v="0"/>
    <s v="SIÈGE CHAABI LLD"/>
    <m/>
    <m/>
    <m/>
    <m/>
  </r>
  <r>
    <n v="8"/>
    <n v="63"/>
    <x v="0"/>
    <s v="AFALIH"/>
    <s v="RESOLUTION INCIDENT HA DU FW FORTINET ( AMINE FALIH )"/>
    <s v="RESOLUTION INCIDENT HA DU FW FORTINET ( AMINE FALIH )"/>
    <m/>
    <s v="NON URGENT"/>
    <s v="AMINE FALIH"/>
    <x v="0"/>
    <x v="0"/>
    <x v="0"/>
    <s v="SIÈGE CHAABI LLD"/>
    <m/>
    <m/>
    <m/>
    <m/>
  </r>
  <r>
    <n v="7"/>
    <n v="64"/>
    <x v="0"/>
    <s v="AFALIH"/>
    <s v="DEMANDE MISE A JOUR CONTRAT DE MAINTENANCE INTELCOM ( AMINE FALIH )"/>
    <s v="DEMANDE MISE A JOUR CONTRAT DE MAINTENANCE INTELCOM ( AMINE FALIH )"/>
    <m/>
    <s v="NON URGENT"/>
    <s v="AMINE FALIH"/>
    <x v="2"/>
    <x v="0"/>
    <x v="0"/>
    <s v="SIÈGE CHAABI LLD"/>
    <m/>
    <m/>
    <m/>
    <m/>
  </r>
  <r>
    <n v="6"/>
    <n v="65"/>
    <x v="0"/>
    <s v="AFALIH"/>
    <s v="TEST ASTREINTE"/>
    <s v="TEST ASTREINTE"/>
    <m/>
    <s v="NON URGENT"/>
    <s v="AMINE FALIH"/>
    <x v="3"/>
    <x v="10"/>
    <x v="0"/>
    <s v="SIÈGE CHAABI LLD"/>
    <m/>
    <m/>
    <m/>
    <m/>
  </r>
  <r>
    <n v="6"/>
    <n v="66"/>
    <x v="0"/>
    <s v="AFALIH"/>
    <s v="CHANGEMENT ASTREINTE"/>
    <s v="CHANGEMENT ASTREINTE"/>
    <m/>
    <s v="NON URGENT"/>
    <s v="AMINE FALIH"/>
    <x v="3"/>
    <x v="10"/>
    <x v="0"/>
    <s v="SIÈGE CHAABI LLD"/>
    <m/>
    <m/>
    <m/>
    <m/>
  </r>
  <r>
    <n v="6"/>
    <n v="67"/>
    <x v="0"/>
    <s v="MAHMOUD EL FADIL"/>
    <s v="DEMANDE PLANNING DES ASTREINTES 2025 ( MAHMOUD EL FADIL )"/>
    <s v="DEMANDE PLANNING DES ASTREINTES 2025 ( MAHMOUD EL FADIL )"/>
    <m/>
    <s v="NON URGENT"/>
    <s v="AMINE FALIH"/>
    <x v="2"/>
    <x v="6"/>
    <x v="0"/>
    <s v="SIÈGE CHAABI LLD"/>
    <m/>
    <m/>
    <m/>
    <m/>
  </r>
  <r>
    <n v="6"/>
    <n v="68"/>
    <x v="0"/>
    <s v="AFALIH"/>
    <s v="PROBLEME VPN ( EXPERTFLOW )"/>
    <s v="PROBLEME VPN ( EXPERTFLOW )"/>
    <m/>
    <s v="NON URGENT"/>
    <s v="AMINE FALIH"/>
    <x v="2"/>
    <x v="6"/>
    <x v="0"/>
    <s v="SIÈGE CHAABI LLD"/>
    <m/>
    <m/>
    <m/>
    <m/>
  </r>
  <r>
    <d v="2025-01-31T00:00:00"/>
    <n v="69"/>
    <x v="0"/>
    <s v="AHARI"/>
    <s v="VMware Aria Operations Networks"/>
    <s v="VMware Aria Operations Networks"/>
    <m/>
    <m/>
    <m/>
    <x v="10"/>
    <x v="12"/>
    <x v="0"/>
    <m/>
    <m/>
    <m/>
    <m/>
    <m/>
  </r>
  <r>
    <d v="2025-01-31T00:00:00"/>
    <n v="70"/>
    <x v="0"/>
    <s v="AHARI"/>
    <s v="Google Chrome"/>
    <s v="Google Chrome"/>
    <m/>
    <m/>
    <m/>
    <x v="10"/>
    <x v="12"/>
    <x v="0"/>
    <m/>
    <m/>
    <m/>
    <m/>
    <m/>
  </r>
  <r>
    <d v="2025-01-30T00:00:00"/>
    <n v="71"/>
    <x v="0"/>
    <s v="AHARI"/>
    <s v="Imprimantes Canon"/>
    <s v="Imprimantes Canon"/>
    <m/>
    <m/>
    <m/>
    <x v="10"/>
    <x v="12"/>
    <x v="0"/>
    <m/>
    <m/>
    <m/>
    <m/>
    <m/>
  </r>
  <r>
    <d v="2025-01-30T00:00:00"/>
    <n v="72"/>
    <x v="0"/>
    <s v="AHARI"/>
    <s v="Cacti"/>
    <s v="Cacti"/>
    <m/>
    <m/>
    <m/>
    <x v="10"/>
    <x v="12"/>
    <x v="0"/>
    <m/>
    <m/>
    <m/>
    <m/>
    <m/>
  </r>
  <r>
    <d v="2025-01-30T00:00:00"/>
    <n v="73"/>
    <x v="0"/>
    <s v="AHARI"/>
    <s v="BIND9"/>
    <s v="BIND9"/>
    <m/>
    <m/>
    <m/>
    <x v="10"/>
    <x v="12"/>
    <x v="0"/>
    <m/>
    <m/>
    <m/>
    <m/>
    <m/>
  </r>
  <r>
    <d v="2025-01-30T00:00:00"/>
    <n v="74"/>
    <x v="0"/>
    <s v="AHARI"/>
    <s v="Routeurs D-Link DSL-3788"/>
    <s v="Routeurs D-Link DSL-3788"/>
    <m/>
    <m/>
    <m/>
    <x v="10"/>
    <x v="12"/>
    <x v="0"/>
    <m/>
    <m/>
    <m/>
    <m/>
    <m/>
  </r>
  <r>
    <d v="2025-01-29T00:00:00"/>
    <n v="75"/>
    <x v="0"/>
    <s v="AHARI"/>
    <s v="TeamViewer"/>
    <s v="TeamViewer"/>
    <m/>
    <m/>
    <m/>
    <x v="10"/>
    <x v="12"/>
    <x v="0"/>
    <m/>
    <m/>
    <m/>
    <m/>
    <m/>
  </r>
  <r>
    <d v="2025-01-29T00:00:00"/>
    <n v="76"/>
    <x v="0"/>
    <s v="AHARI"/>
    <s v="KSMBD"/>
    <s v="KSMBD"/>
    <m/>
    <m/>
    <m/>
    <x v="10"/>
    <x v="12"/>
    <x v="0"/>
    <m/>
    <m/>
    <m/>
    <m/>
    <m/>
  </r>
  <r>
    <d v="2025-01-29T00:00:00"/>
    <n v="77"/>
    <x v="0"/>
    <s v="AHARI"/>
    <s v="VMware Avi Load Balancer"/>
    <s v="VMware Avi Load Balancer"/>
    <m/>
    <m/>
    <m/>
    <x v="10"/>
    <x v="12"/>
    <x v="0"/>
    <m/>
    <m/>
    <m/>
    <m/>
    <m/>
  </r>
  <r>
    <d v="2025-01-28T00:00:00"/>
    <n v="78"/>
    <x v="0"/>
    <s v="AHARI"/>
    <s v="Produits GitHub"/>
    <s v="Produits GitHub"/>
    <m/>
    <m/>
    <m/>
    <x v="10"/>
    <x v="12"/>
    <x v="0"/>
    <m/>
    <m/>
    <m/>
    <m/>
    <m/>
  </r>
  <r>
    <d v="2025-01-28T00:00:00"/>
    <n v="79"/>
    <x v="0"/>
    <s v="AHARI"/>
    <s v="Produits Apple"/>
    <s v="Produits Apple"/>
    <m/>
    <m/>
    <m/>
    <x v="10"/>
    <x v="12"/>
    <x v="0"/>
    <m/>
    <m/>
    <m/>
    <m/>
    <m/>
  </r>
  <r>
    <d v="2025-01-27T00:00:00"/>
    <n v="80"/>
    <x v="0"/>
    <s v="AHARI"/>
    <s v="Juniper Secure Analytics"/>
    <s v="Juniper Secure Analytics"/>
    <m/>
    <m/>
    <m/>
    <x v="10"/>
    <x v="12"/>
    <x v="0"/>
    <m/>
    <m/>
    <m/>
    <m/>
    <m/>
  </r>
  <r>
    <d v="2025-01-27T00:00:00"/>
    <n v="81"/>
    <x v="0"/>
    <s v="AHARI"/>
    <s v="phpMyAdmin"/>
    <s v="phpMyAdmin"/>
    <m/>
    <m/>
    <m/>
    <x v="10"/>
    <x v="12"/>
    <x v="0"/>
    <m/>
    <m/>
    <m/>
    <m/>
    <m/>
  </r>
  <r>
    <d v="2025-01-24T00:00:00"/>
    <n v="82"/>
    <x v="0"/>
    <s v="AHARI"/>
    <s v="QNAP Hybrid Backup Sync"/>
    <s v="QNAP Hybrid Backup Sync"/>
    <m/>
    <m/>
    <m/>
    <x v="10"/>
    <x v="12"/>
    <x v="0"/>
    <m/>
    <m/>
    <m/>
    <m/>
    <m/>
  </r>
  <r>
    <d v="2025-01-24T00:00:00"/>
    <n v="83"/>
    <x v="0"/>
    <s v="AHARI"/>
    <s v="Node.js"/>
    <s v="Node.js"/>
    <m/>
    <m/>
    <m/>
    <x v="10"/>
    <x v="12"/>
    <x v="0"/>
    <m/>
    <m/>
    <m/>
    <m/>
    <m/>
  </r>
  <r>
    <d v="2025-01-24T00:00:00"/>
    <n v="84"/>
    <x v="0"/>
    <s v="AHARI"/>
    <s v="Thème &quot;Bootstrap Ultimate&quot;"/>
    <s v="Thème &quot;Bootstrap Ultimate&quot;"/>
    <m/>
    <m/>
    <m/>
    <x v="10"/>
    <x v="12"/>
    <x v="0"/>
    <m/>
    <m/>
    <m/>
    <m/>
    <m/>
  </r>
  <r>
    <d v="2025-01-24T00:00:00"/>
    <n v="85"/>
    <x v="0"/>
    <s v="AHARI"/>
    <s v="Produits HP"/>
    <s v="Produits HP"/>
    <m/>
    <m/>
    <m/>
    <x v="10"/>
    <x v="12"/>
    <x v="0"/>
    <m/>
    <m/>
    <m/>
    <m/>
    <m/>
  </r>
  <r>
    <d v="2025-01-24T00:00:00"/>
    <n v="86"/>
    <x v="0"/>
    <s v="AHARI"/>
    <s v="GitLab"/>
    <s v="GitLab"/>
    <m/>
    <m/>
    <m/>
    <x v="10"/>
    <x v="12"/>
    <x v="0"/>
    <m/>
    <m/>
    <m/>
    <m/>
    <m/>
  </r>
  <r>
    <d v="2025-01-23T00:00:00"/>
    <n v="87"/>
    <x v="0"/>
    <s v="AHARI"/>
    <s v="Google Chrome"/>
    <s v="Google Chrome"/>
    <m/>
    <m/>
    <m/>
    <x v="10"/>
    <x v="12"/>
    <x v="0"/>
    <m/>
    <m/>
    <m/>
    <m/>
    <m/>
  </r>
  <r>
    <d v="2025-01-23T00:00:00"/>
    <n v="88"/>
    <x v="0"/>
    <s v="AHARI"/>
    <s v="SonicWall"/>
    <s v="SonicWall"/>
    <m/>
    <m/>
    <m/>
    <x v="10"/>
    <x v="12"/>
    <x v="0"/>
    <m/>
    <m/>
    <m/>
    <m/>
    <m/>
  </r>
  <r>
    <d v="2025-01-23T00:00:00"/>
    <n v="89"/>
    <x v="0"/>
    <s v="AHARI"/>
    <s v="Cisco"/>
    <s v="Cisco"/>
    <m/>
    <m/>
    <m/>
    <x v="10"/>
    <x v="12"/>
    <x v="0"/>
    <m/>
    <m/>
    <m/>
    <m/>
    <m/>
  </r>
  <r>
    <d v="2025-01-22T00:00:00"/>
    <n v="90"/>
    <x v="0"/>
    <s v="AHARI"/>
    <s v="Atlassian"/>
    <s v="Atlassian"/>
    <m/>
    <m/>
    <m/>
    <x v="10"/>
    <x v="12"/>
    <x v="0"/>
    <m/>
    <m/>
    <m/>
    <m/>
    <m/>
  </r>
  <r>
    <d v="2025-01-22T00:00:00"/>
    <n v="91"/>
    <x v="0"/>
    <s v="AHARI"/>
    <s v="Mises à jour Oracle"/>
    <s v="Mises à jour Oracle"/>
    <m/>
    <m/>
    <m/>
    <x v="10"/>
    <x v="12"/>
    <x v="0"/>
    <m/>
    <m/>
    <m/>
    <m/>
    <m/>
  </r>
  <r>
    <d v="2025-01-22T00:00:00"/>
    <n v="92"/>
    <x v="0"/>
    <s v="AHARI"/>
    <s v="Elastic"/>
    <s v="Elastic"/>
    <m/>
    <m/>
    <m/>
    <x v="10"/>
    <x v="12"/>
    <x v="0"/>
    <m/>
    <m/>
    <m/>
    <m/>
    <m/>
  </r>
  <r>
    <d v="2025-01-21T00:00:00"/>
    <n v="93"/>
    <x v="0"/>
    <s v="AHARI"/>
    <s v="7-Zip"/>
    <s v="7-Zip"/>
    <m/>
    <m/>
    <m/>
    <x v="10"/>
    <x v="12"/>
    <x v="0"/>
    <m/>
    <m/>
    <m/>
    <m/>
    <m/>
  </r>
  <r>
    <d v="2025-01-21T00:00:00"/>
    <n v="94"/>
    <x v="0"/>
    <s v="AHARI"/>
    <s v="F5 Traffix SDC"/>
    <s v="F5 Traffix SDC"/>
    <m/>
    <m/>
    <m/>
    <x v="10"/>
    <x v="12"/>
    <x v="0"/>
    <m/>
    <m/>
    <m/>
    <m/>
    <m/>
  </r>
  <r>
    <d v="2025-01-17T00:00:00"/>
    <n v="95"/>
    <x v="0"/>
    <s v="AHARI"/>
    <s v="NVIDIA"/>
    <s v="NVIDIA"/>
    <m/>
    <m/>
    <m/>
    <x v="10"/>
    <x v="12"/>
    <x v="0"/>
    <m/>
    <m/>
    <m/>
    <m/>
    <m/>
  </r>
  <r>
    <d v="2025-01-17T00:00:00"/>
    <n v="96"/>
    <x v="0"/>
    <s v="AHARI"/>
    <s v="Schneider Electric"/>
    <s v="Schneider Electric"/>
    <m/>
    <m/>
    <m/>
    <x v="10"/>
    <x v="12"/>
    <x v="0"/>
    <m/>
    <m/>
    <m/>
    <m/>
    <m/>
  </r>
  <r>
    <d v="2025-01-16T00:00:00"/>
    <n v="97"/>
    <x v="0"/>
    <s v="AHARI"/>
    <s v="HPE Aruba Networking"/>
    <s v="HPE Aruba Networking"/>
    <m/>
    <m/>
    <m/>
    <x v="10"/>
    <x v="12"/>
    <x v="0"/>
    <m/>
    <m/>
    <m/>
    <m/>
    <m/>
  </r>
  <r>
    <d v="2025-01-16T00:00:00"/>
    <n v="98"/>
    <x v="0"/>
    <s v="AHARI"/>
    <s v="Google Chrome"/>
    <s v="Google Chrome"/>
    <m/>
    <m/>
    <m/>
    <x v="10"/>
    <x v="12"/>
    <x v="0"/>
    <m/>
    <m/>
    <m/>
    <m/>
    <m/>
  </r>
  <r>
    <d v="2025-01-16T00:00:00"/>
    <n v="99"/>
    <x v="0"/>
    <s v="AHARI"/>
    <s v="Serveurs Rsync"/>
    <s v="Serveurs Rsync"/>
    <m/>
    <m/>
    <m/>
    <x v="10"/>
    <x v="12"/>
    <x v="0"/>
    <m/>
    <m/>
    <m/>
    <m/>
    <m/>
  </r>
  <r>
    <d v="2025-01-16T00:00:00"/>
    <n v="100"/>
    <x v="0"/>
    <s v="AHARI"/>
    <s v="Ivanti"/>
    <s v="Ivanti"/>
    <m/>
    <m/>
    <m/>
    <x v="10"/>
    <x v="12"/>
    <x v="0"/>
    <m/>
    <m/>
    <m/>
    <m/>
    <m/>
  </r>
  <r>
    <d v="2025-01-15T00:00:00"/>
    <n v="101"/>
    <x v="0"/>
    <s v="AHARI"/>
    <s v="Zoom"/>
    <s v="Zoom"/>
    <m/>
    <m/>
    <m/>
    <x v="10"/>
    <x v="12"/>
    <x v="0"/>
    <m/>
    <m/>
    <m/>
    <m/>
    <m/>
  </r>
  <r>
    <d v="2025-01-15T00:00:00"/>
    <n v="102"/>
    <x v="0"/>
    <s v="AHARI"/>
    <s v="Adobe"/>
    <s v="Adobe"/>
    <m/>
    <m/>
    <m/>
    <x v="10"/>
    <x v="12"/>
    <x v="0"/>
    <m/>
    <m/>
    <m/>
    <m/>
    <m/>
  </r>
  <r>
    <d v="2025-01-15T00:00:00"/>
    <n v="103"/>
    <x v="0"/>
    <s v="AHARI"/>
    <s v="SAP"/>
    <s v="SAP"/>
    <m/>
    <m/>
    <m/>
    <x v="10"/>
    <x v="12"/>
    <x v="0"/>
    <m/>
    <m/>
    <m/>
    <m/>
    <m/>
  </r>
  <r>
    <d v="2025-01-15T00:00:00"/>
    <n v="104"/>
    <x v="0"/>
    <s v="AHARI"/>
    <s v="Fortinet"/>
    <s v="Fortinet"/>
    <m/>
    <m/>
    <m/>
    <x v="10"/>
    <x v="12"/>
    <x v="0"/>
    <m/>
    <m/>
    <m/>
    <m/>
    <m/>
  </r>
  <r>
    <d v="2025-01-15T00:00:00"/>
    <n v="105"/>
    <x v="0"/>
    <s v="AHARI"/>
    <s v="Microsoft Patch Tuesday"/>
    <s v="Microsoft Patch Tuesday"/>
    <m/>
    <m/>
    <m/>
    <x v="10"/>
    <x v="12"/>
    <x v="0"/>
    <m/>
    <m/>
    <m/>
    <m/>
    <m/>
  </r>
  <r>
    <d v="2025-01-13T00:00:00"/>
    <n v="106"/>
    <x v="0"/>
    <s v="AHARI"/>
    <s v="VMware Aria Automation"/>
    <s v="VMware Aria Automation"/>
    <m/>
    <m/>
    <m/>
    <x v="10"/>
    <x v="12"/>
    <x v="0"/>
    <m/>
    <m/>
    <m/>
    <m/>
    <m/>
  </r>
  <r>
    <d v="2025-01-13T00:00:00"/>
    <n v="107"/>
    <x v="0"/>
    <s v="AHARI"/>
    <s v="Plugin &quot;GiveWP&quot;"/>
    <s v="Plugin &quot;GiveWP&quot;"/>
    <m/>
    <m/>
    <m/>
    <x v="10"/>
    <x v="12"/>
    <x v="0"/>
    <m/>
    <m/>
    <m/>
    <m/>
    <m/>
  </r>
  <r>
    <d v="2025-01-13T00:00:00"/>
    <n v="108"/>
    <x v="0"/>
    <s v="AHARI"/>
    <s v="Routeurs Netgear"/>
    <s v="Routeurs Netgear"/>
    <m/>
    <m/>
    <m/>
    <x v="10"/>
    <x v="12"/>
    <x v="0"/>
    <m/>
    <m/>
    <m/>
    <m/>
    <m/>
  </r>
  <r>
    <d v="2025-01-10T00:00:00"/>
    <n v="109"/>
    <x v="0"/>
    <s v="AHARI"/>
    <s v="Fancy Product Designer"/>
    <s v="Fancy Product Designer"/>
    <m/>
    <m/>
    <m/>
    <x v="10"/>
    <x v="12"/>
    <x v="0"/>
    <m/>
    <m/>
    <m/>
    <m/>
    <m/>
  </r>
  <r>
    <d v="2025-01-10T00:00:00"/>
    <n v="110"/>
    <x v="0"/>
    <s v="AHARI"/>
    <s v="Juniper"/>
    <s v="Juniper"/>
    <m/>
    <m/>
    <m/>
    <x v="10"/>
    <x v="12"/>
    <x v="0"/>
    <m/>
    <m/>
    <m/>
    <m/>
    <m/>
  </r>
  <r>
    <d v="2025-01-09T00:00:00"/>
    <n v="111"/>
    <x v="0"/>
    <s v="AHARI"/>
    <s v="Palo Alto Networks Expedition"/>
    <s v="Palo Alto Networks Expedition"/>
    <m/>
    <m/>
    <m/>
    <x v="10"/>
    <x v="12"/>
    <x v="0"/>
    <m/>
    <m/>
    <m/>
    <m/>
    <m/>
  </r>
  <r>
    <d v="2025-01-09T00:00:00"/>
    <n v="112"/>
    <x v="0"/>
    <s v="AHARI"/>
    <s v="Cisco"/>
    <s v="Cisco"/>
    <m/>
    <m/>
    <m/>
    <x v="10"/>
    <x v="12"/>
    <x v="0"/>
    <m/>
    <m/>
    <m/>
    <m/>
    <m/>
  </r>
  <r>
    <d v="2025-01-09T00:00:00"/>
    <n v="113"/>
    <x v="0"/>
    <s v="AHARI"/>
    <s v="Ivanti Connect Secure"/>
    <s v="Ivanti Connect Secure"/>
    <m/>
    <m/>
    <m/>
    <x v="10"/>
    <x v="12"/>
    <x v="0"/>
    <m/>
    <m/>
    <m/>
    <m/>
    <m/>
  </r>
  <r>
    <d v="2025-01-09T00:00:00"/>
    <n v="114"/>
    <x v="0"/>
    <s v="AHARI"/>
    <s v="Splunk"/>
    <s v="Splunk"/>
    <m/>
    <m/>
    <m/>
    <x v="10"/>
    <x v="12"/>
    <x v="0"/>
    <m/>
    <m/>
    <m/>
    <m/>
    <m/>
  </r>
  <r>
    <d v="2025-01-09T00:00:00"/>
    <n v="115"/>
    <x v="0"/>
    <s v="AHARI"/>
    <s v="Joomla"/>
    <s v="Joomla"/>
    <m/>
    <m/>
    <m/>
    <x v="10"/>
    <x v="12"/>
    <x v="0"/>
    <m/>
    <m/>
    <m/>
    <m/>
    <m/>
  </r>
  <r>
    <d v="2025-01-08T00:00:00"/>
    <n v="116"/>
    <x v="0"/>
    <s v="AHARI"/>
    <s v="Google Chrome"/>
    <s v="Google Chrome"/>
    <m/>
    <m/>
    <m/>
    <x v="10"/>
    <x v="12"/>
    <x v="0"/>
    <m/>
    <m/>
    <m/>
    <m/>
    <m/>
  </r>
  <r>
    <d v="2025-01-08T00:00:00"/>
    <n v="117"/>
    <x v="0"/>
    <s v="AHARI"/>
    <s v="SonicWall SonicOS"/>
    <s v="SonicWall SonicOS"/>
    <m/>
    <m/>
    <m/>
    <x v="10"/>
    <x v="12"/>
    <x v="0"/>
    <m/>
    <m/>
    <m/>
    <m/>
    <m/>
  </r>
  <r>
    <d v="2025-01-08T00:00:00"/>
    <n v="118"/>
    <x v="0"/>
    <s v="AHARI"/>
    <s v="Mozilla Firefox"/>
    <s v="Mozilla Firefox"/>
    <m/>
    <m/>
    <m/>
    <x v="10"/>
    <x v="12"/>
    <x v="0"/>
    <m/>
    <m/>
    <m/>
    <m/>
    <m/>
  </r>
  <r>
    <d v="2025-01-07T00:00:00"/>
    <n v="119"/>
    <x v="0"/>
    <s v="AHARI"/>
    <s v="MediaTek Chipsets"/>
    <s v="MediaTek Chipsets"/>
    <m/>
    <m/>
    <m/>
    <x v="10"/>
    <x v="12"/>
    <x v="0"/>
    <m/>
    <m/>
    <m/>
    <m/>
    <m/>
  </r>
  <r>
    <d v="2025-01-07T00:00:00"/>
    <n v="120"/>
    <x v="0"/>
    <s v="AHARI"/>
    <s v="Redis"/>
    <s v="Redis"/>
    <m/>
    <m/>
    <m/>
    <x v="10"/>
    <x v="12"/>
    <x v="0"/>
    <m/>
    <m/>
    <m/>
    <m/>
    <m/>
  </r>
  <r>
    <d v="2025-01-07T00:00:00"/>
    <n v="121"/>
    <x v="0"/>
    <s v="AHARI"/>
    <s v="Android"/>
    <s v="Android"/>
    <m/>
    <m/>
    <m/>
    <x v="10"/>
    <x v="12"/>
    <x v="0"/>
    <m/>
    <m/>
    <m/>
    <m/>
    <m/>
  </r>
  <r>
    <d v="2025-01-06T00:00:00"/>
    <n v="122"/>
    <x v="0"/>
    <s v="AHARI"/>
    <s v="Moxa"/>
    <s v="Moxa"/>
    <m/>
    <m/>
    <m/>
    <x v="10"/>
    <x v="12"/>
    <x v="0"/>
    <m/>
    <m/>
    <m/>
    <m/>
    <m/>
  </r>
  <r>
    <d v="2025-01-06T00:00:00"/>
    <n v="123"/>
    <x v="0"/>
    <s v="AHARI"/>
    <s v="Dell OpenManage Server Administrator"/>
    <s v="Dell OpenManage Server Administrator"/>
    <m/>
    <m/>
    <m/>
    <x v="10"/>
    <x v="12"/>
    <x v="0"/>
    <m/>
    <m/>
    <m/>
    <m/>
    <m/>
  </r>
  <r>
    <d v="2025-01-06T00:00:00"/>
    <n v="124"/>
    <x v="0"/>
    <s v="AHARI"/>
    <s v="Plugin &quot;UpdraftPlus Backup &amp; Migration&quot;"/>
    <s v="Plugin &quot;UpdraftPlus Backup &amp; Migration&quot;"/>
    <m/>
    <m/>
    <m/>
    <x v="10"/>
    <x v="12"/>
    <x v="0"/>
    <m/>
    <m/>
    <m/>
    <m/>
    <m/>
  </r>
  <r>
    <d v="2025-01-03T00:00:00"/>
    <n v="125"/>
    <x v="0"/>
    <s v="AHARI"/>
    <s v="Routeurs ASUS"/>
    <s v="Routeurs ASUS"/>
    <m/>
    <m/>
    <m/>
    <x v="10"/>
    <x v="12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5" firstHeaderRow="1" firstDataRow="1" firstDataCol="1"/>
  <pivotFields count="17">
    <pivotField showAll="0"/>
    <pivotField dataField="1"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2">
        <item x="0"/>
        <item m="1" x="1"/>
      </items>
    </pivotField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11"/>
  </rowFields>
  <rowItems count="2">
    <i>
      <x/>
    </i>
    <i t="grand">
      <x/>
    </i>
  </rowItems>
  <colItems count="1">
    <i/>
  </colItems>
  <dataFields count="1">
    <dataField name="Nombre de N° Ticket" fld="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6" firstHeaderRow="1" firstDataRow="1" firstDataCol="1"/>
  <pivotFields count="17">
    <pivotField numFmtId="22" showAll="0"/>
    <pivotField dataField="1"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Nombre de N° Ticke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7">
  <location ref="A3:B15" firstHeaderRow="1" firstDataRow="1" firstDataCol="1"/>
  <pivotFields count="17">
    <pivotField numFmtId="22" showAll="0" defaultSubtotal="0"/>
    <pivotField dataField="1"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axis="axisRow" showAll="0" sortType="descending">
      <items count="13">
        <item x="1"/>
        <item x="3"/>
        <item x="0"/>
        <item x="9"/>
        <item x="2"/>
        <item x="5"/>
        <item x="8"/>
        <item x="4"/>
        <item x="10"/>
        <item m="1" x="11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9"/>
  </rowFields>
  <rowItems count="12">
    <i>
      <x v="2"/>
    </i>
    <i>
      <x v="8"/>
    </i>
    <i>
      <x v="4"/>
    </i>
    <i>
      <x v="1"/>
    </i>
    <i>
      <x/>
    </i>
    <i>
      <x v="6"/>
    </i>
    <i>
      <x v="5"/>
    </i>
    <i>
      <x v="7"/>
    </i>
    <i>
      <x v="10"/>
    </i>
    <i>
      <x v="11"/>
    </i>
    <i>
      <x v="3"/>
    </i>
    <i t="grand">
      <x/>
    </i>
  </rowItems>
  <colItems count="1">
    <i/>
  </colItems>
  <dataFields count="1">
    <dataField name="Nombre de N° Ticket" fld="1" subtotal="count" baseField="9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4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9">
  <location ref="A3:B17" firstHeaderRow="1" firstDataRow="1" firstDataCol="1"/>
  <pivotFields count="17">
    <pivotField numFmtId="22" showAll="0" defaultSubtotal="0"/>
    <pivotField dataField="1"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 defaultSubtotal="0">
      <items count="13">
        <item x="9"/>
        <item x="10"/>
        <item x="11"/>
        <item x="6"/>
        <item x="1"/>
        <item x="8"/>
        <item x="5"/>
        <item x="7"/>
        <item x="0"/>
        <item x="4"/>
        <item x="3"/>
        <item x="2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10"/>
  </rowFields>
  <rowItems count="14">
    <i>
      <x v="12"/>
    </i>
    <i>
      <x v="8"/>
    </i>
    <i>
      <x v="9"/>
    </i>
    <i>
      <x v="1"/>
    </i>
    <i>
      <x v="7"/>
    </i>
    <i>
      <x v="4"/>
    </i>
    <i>
      <x v="11"/>
    </i>
    <i>
      <x v="3"/>
    </i>
    <i>
      <x v="6"/>
    </i>
    <i>
      <x/>
    </i>
    <i>
      <x v="2"/>
    </i>
    <i>
      <x v="5"/>
    </i>
    <i>
      <x v="10"/>
    </i>
    <i t="grand">
      <x/>
    </i>
  </rowItems>
  <colItems count="1">
    <i/>
  </colItems>
  <dataFields count="1">
    <dataField name="Nombre de N° Ticket" fld="1" subtotal="count" baseField="11" baseItem="0"/>
  </dataFields>
  <formats count="6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</format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1"/>
  <sheetViews>
    <sheetView topLeftCell="G1" workbookViewId="0">
      <pane ySplit="1" topLeftCell="A2" activePane="bottomLeft" state="frozen"/>
      <selection pane="bottomLeft" sqref="A1:L3"/>
    </sheetView>
  </sheetViews>
  <sheetFormatPr baseColWidth="10" defaultRowHeight="14.5" x14ac:dyDescent="0.35"/>
  <cols>
    <col min="1" max="1" width="15.7265625" bestFit="1" customWidth="1"/>
    <col min="3" max="3" width="14.7265625" customWidth="1"/>
    <col min="4" max="4" width="14.54296875" customWidth="1"/>
    <col min="5" max="5" width="59.26953125" customWidth="1"/>
    <col min="6" max="6" width="23" customWidth="1"/>
    <col min="7" max="7" width="11.453125" customWidth="1"/>
    <col min="8" max="8" width="13" customWidth="1"/>
    <col min="9" max="9" width="16.1796875" customWidth="1"/>
    <col min="10" max="10" width="20" customWidth="1"/>
    <col min="11" max="11" width="14.453125" customWidth="1"/>
    <col min="13" max="13" width="16.7265625" customWidth="1"/>
  </cols>
  <sheetData>
    <row r="1" spans="1:17" x14ac:dyDescent="0.35">
      <c r="A1" t="s">
        <v>4</v>
      </c>
      <c r="B1" t="s">
        <v>6</v>
      </c>
      <c r="C1" t="s">
        <v>5</v>
      </c>
      <c r="D1" t="s">
        <v>7</v>
      </c>
      <c r="E1" t="s">
        <v>0</v>
      </c>
      <c r="F1" t="s">
        <v>3</v>
      </c>
      <c r="G1" t="s">
        <v>2</v>
      </c>
      <c r="H1" t="s">
        <v>10</v>
      </c>
      <c r="I1" t="s">
        <v>8</v>
      </c>
      <c r="J1" t="s">
        <v>9</v>
      </c>
      <c r="K1" t="s">
        <v>415</v>
      </c>
      <c r="L1" t="s">
        <v>15</v>
      </c>
      <c r="M1" t="s">
        <v>1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 s="1">
        <v>45680.433275462965</v>
      </c>
      <c r="B2">
        <v>1166751</v>
      </c>
      <c r="C2" t="s">
        <v>26</v>
      </c>
      <c r="D2" t="s">
        <v>21</v>
      </c>
      <c r="E2" t="s">
        <v>16</v>
      </c>
      <c r="F2" t="s">
        <v>19</v>
      </c>
      <c r="G2" t="s">
        <v>18</v>
      </c>
      <c r="J2" t="s">
        <v>419</v>
      </c>
      <c r="K2" t="s">
        <v>29</v>
      </c>
      <c r="L2" t="s">
        <v>31</v>
      </c>
      <c r="M2" t="s">
        <v>17</v>
      </c>
    </row>
    <row r="3" spans="1:17" x14ac:dyDescent="0.35">
      <c r="A3" s="1">
        <v>45670.483530092592</v>
      </c>
      <c r="B3">
        <v>1161074</v>
      </c>
      <c r="C3" t="s">
        <v>20</v>
      </c>
      <c r="D3" t="s">
        <v>21</v>
      </c>
      <c r="E3" t="s">
        <v>22</v>
      </c>
      <c r="F3" t="s">
        <v>24</v>
      </c>
      <c r="G3" t="s">
        <v>23</v>
      </c>
      <c r="J3" t="s">
        <v>294</v>
      </c>
      <c r="K3" t="s">
        <v>296</v>
      </c>
      <c r="L3" t="s">
        <v>31</v>
      </c>
      <c r="M3" t="s">
        <v>17</v>
      </c>
    </row>
    <row r="4" spans="1:17" x14ac:dyDescent="0.35">
      <c r="A4" s="1">
        <v>45666.507719907408</v>
      </c>
      <c r="B4">
        <v>1160312</v>
      </c>
      <c r="C4" t="s">
        <v>26</v>
      </c>
      <c r="D4" t="s">
        <v>27</v>
      </c>
      <c r="E4" t="s">
        <v>25</v>
      </c>
      <c r="F4" t="s">
        <v>25</v>
      </c>
      <c r="G4" t="s">
        <v>23</v>
      </c>
      <c r="H4" t="s">
        <v>30</v>
      </c>
      <c r="I4" t="s">
        <v>28</v>
      </c>
      <c r="J4" t="s">
        <v>419</v>
      </c>
      <c r="K4" t="s">
        <v>29</v>
      </c>
      <c r="L4" t="s">
        <v>31</v>
      </c>
      <c r="M4" t="s">
        <v>17</v>
      </c>
    </row>
    <row r="5" spans="1:17" x14ac:dyDescent="0.35">
      <c r="A5" s="1">
        <v>45666.507511574076</v>
      </c>
      <c r="B5">
        <v>1160311</v>
      </c>
      <c r="C5" t="s">
        <v>26</v>
      </c>
      <c r="D5" t="s">
        <v>106</v>
      </c>
      <c r="E5" t="s">
        <v>298</v>
      </c>
      <c r="F5" t="s">
        <v>32</v>
      </c>
      <c r="G5" t="s">
        <v>23</v>
      </c>
      <c r="H5" t="s">
        <v>30</v>
      </c>
      <c r="I5" t="s">
        <v>28</v>
      </c>
      <c r="J5" t="s">
        <v>419</v>
      </c>
      <c r="K5" t="s">
        <v>295</v>
      </c>
      <c r="L5" t="s">
        <v>31</v>
      </c>
      <c r="M5" t="s">
        <v>17</v>
      </c>
    </row>
    <row r="6" spans="1:17" x14ac:dyDescent="0.35">
      <c r="A6" s="1">
        <v>45666.507060185184</v>
      </c>
      <c r="B6">
        <v>1160310</v>
      </c>
      <c r="C6" t="s">
        <v>26</v>
      </c>
      <c r="D6" t="s">
        <v>27</v>
      </c>
      <c r="E6" t="s">
        <v>299</v>
      </c>
      <c r="F6" t="s">
        <v>33</v>
      </c>
      <c r="G6" t="s">
        <v>23</v>
      </c>
      <c r="H6" t="s">
        <v>30</v>
      </c>
      <c r="I6" t="s">
        <v>28</v>
      </c>
      <c r="J6" t="s">
        <v>34</v>
      </c>
      <c r="K6" t="s">
        <v>29</v>
      </c>
      <c r="L6" t="s">
        <v>31</v>
      </c>
      <c r="M6" t="s">
        <v>17</v>
      </c>
    </row>
    <row r="7" spans="1:17" x14ac:dyDescent="0.35">
      <c r="A7" s="1">
        <v>45666.506574074076</v>
      </c>
      <c r="B7">
        <v>1160309</v>
      </c>
      <c r="C7" t="s">
        <v>26</v>
      </c>
      <c r="D7" t="s">
        <v>300</v>
      </c>
      <c r="E7" t="s">
        <v>301</v>
      </c>
      <c r="F7" t="s">
        <v>35</v>
      </c>
      <c r="G7" t="s">
        <v>23</v>
      </c>
      <c r="H7" t="s">
        <v>30</v>
      </c>
      <c r="I7" t="s">
        <v>28</v>
      </c>
      <c r="J7" t="s">
        <v>34</v>
      </c>
      <c r="K7" t="s">
        <v>297</v>
      </c>
      <c r="L7" t="s">
        <v>31</v>
      </c>
      <c r="M7" t="s">
        <v>17</v>
      </c>
    </row>
    <row r="8" spans="1:17" x14ac:dyDescent="0.35">
      <c r="A8" s="1">
        <v>45666.506249999999</v>
      </c>
      <c r="B8">
        <v>1160308</v>
      </c>
      <c r="C8" t="s">
        <v>26</v>
      </c>
      <c r="D8" t="s">
        <v>303</v>
      </c>
      <c r="E8" t="s">
        <v>302</v>
      </c>
      <c r="F8" t="s">
        <v>36</v>
      </c>
      <c r="G8" t="s">
        <v>23</v>
      </c>
      <c r="H8" t="s">
        <v>30</v>
      </c>
      <c r="I8" t="s">
        <v>28</v>
      </c>
      <c r="J8" t="s">
        <v>419</v>
      </c>
      <c r="K8" t="s">
        <v>422</v>
      </c>
      <c r="L8" t="s">
        <v>31</v>
      </c>
      <c r="M8" t="s">
        <v>17</v>
      </c>
    </row>
    <row r="9" spans="1:17" x14ac:dyDescent="0.35">
      <c r="A9" s="1">
        <v>45666.505833333336</v>
      </c>
      <c r="B9">
        <v>1160307</v>
      </c>
      <c r="C9" t="s">
        <v>26</v>
      </c>
      <c r="D9" t="s">
        <v>305</v>
      </c>
      <c r="E9" t="s">
        <v>304</v>
      </c>
      <c r="F9" t="s">
        <v>37</v>
      </c>
      <c r="G9" t="s">
        <v>23</v>
      </c>
      <c r="H9" t="s">
        <v>30</v>
      </c>
      <c r="I9" t="s">
        <v>28</v>
      </c>
      <c r="J9" t="s">
        <v>420</v>
      </c>
      <c r="K9" s="10" t="s">
        <v>424</v>
      </c>
      <c r="L9" t="s">
        <v>31</v>
      </c>
      <c r="M9" t="s">
        <v>17</v>
      </c>
    </row>
    <row r="10" spans="1:17" x14ac:dyDescent="0.35">
      <c r="A10" s="1">
        <v>45666.505578703705</v>
      </c>
      <c r="B10">
        <v>1160306</v>
      </c>
      <c r="C10" t="s">
        <v>26</v>
      </c>
      <c r="D10" t="s">
        <v>307</v>
      </c>
      <c r="E10" t="s">
        <v>306</v>
      </c>
      <c r="F10" t="s">
        <v>38</v>
      </c>
      <c r="G10" t="s">
        <v>23</v>
      </c>
      <c r="H10" t="s">
        <v>30</v>
      </c>
      <c r="I10" t="s">
        <v>28</v>
      </c>
      <c r="J10" t="s">
        <v>419</v>
      </c>
      <c r="K10" s="10" t="s">
        <v>424</v>
      </c>
      <c r="L10" t="s">
        <v>31</v>
      </c>
      <c r="M10" t="s">
        <v>17</v>
      </c>
    </row>
    <row r="11" spans="1:17" x14ac:dyDescent="0.35">
      <c r="A11" s="1">
        <v>45666.504942129628</v>
      </c>
      <c r="B11">
        <v>1160305</v>
      </c>
      <c r="C11" t="s">
        <v>26</v>
      </c>
      <c r="D11" t="s">
        <v>309</v>
      </c>
      <c r="E11" t="s">
        <v>308</v>
      </c>
      <c r="F11" t="s">
        <v>39</v>
      </c>
      <c r="G11" t="s">
        <v>23</v>
      </c>
      <c r="H11" t="s">
        <v>30</v>
      </c>
      <c r="I11" t="s">
        <v>28</v>
      </c>
      <c r="J11" t="s">
        <v>419</v>
      </c>
      <c r="K11" t="s">
        <v>422</v>
      </c>
      <c r="L11" t="s">
        <v>31</v>
      </c>
      <c r="M11" t="s">
        <v>17</v>
      </c>
    </row>
    <row r="12" spans="1:17" x14ac:dyDescent="0.35">
      <c r="A12" s="1">
        <v>45666.504710648151</v>
      </c>
      <c r="B12">
        <v>1160304</v>
      </c>
      <c r="C12" t="s">
        <v>26</v>
      </c>
      <c r="D12" t="s">
        <v>311</v>
      </c>
      <c r="E12" t="s">
        <v>310</v>
      </c>
      <c r="F12" t="s">
        <v>40</v>
      </c>
      <c r="G12" t="s">
        <v>23</v>
      </c>
      <c r="H12" t="s">
        <v>30</v>
      </c>
      <c r="I12" t="s">
        <v>28</v>
      </c>
      <c r="J12" t="s">
        <v>419</v>
      </c>
      <c r="K12" t="s">
        <v>422</v>
      </c>
      <c r="L12" t="s">
        <v>31</v>
      </c>
      <c r="M12" t="s">
        <v>17</v>
      </c>
    </row>
    <row r="13" spans="1:17" x14ac:dyDescent="0.35">
      <c r="A13" s="1">
        <v>45666.504386574074</v>
      </c>
      <c r="B13">
        <v>1160303</v>
      </c>
      <c r="C13" t="s">
        <v>26</v>
      </c>
      <c r="D13" t="s">
        <v>313</v>
      </c>
      <c r="E13" t="s">
        <v>312</v>
      </c>
      <c r="F13" t="s">
        <v>41</v>
      </c>
      <c r="G13" t="s">
        <v>23</v>
      </c>
      <c r="H13" t="s">
        <v>30</v>
      </c>
      <c r="I13" t="s">
        <v>28</v>
      </c>
      <c r="J13" t="s">
        <v>419</v>
      </c>
      <c r="K13" t="s">
        <v>432</v>
      </c>
      <c r="L13" t="s">
        <v>31</v>
      </c>
      <c r="M13" t="s">
        <v>17</v>
      </c>
    </row>
    <row r="14" spans="1:17" x14ac:dyDescent="0.35">
      <c r="A14" s="1">
        <v>45666.504108796296</v>
      </c>
      <c r="B14">
        <v>1160302</v>
      </c>
      <c r="C14" t="s">
        <v>26</v>
      </c>
      <c r="D14" t="s">
        <v>315</v>
      </c>
      <c r="E14" t="s">
        <v>314</v>
      </c>
      <c r="F14" t="s">
        <v>42</v>
      </c>
      <c r="G14" t="s">
        <v>23</v>
      </c>
      <c r="H14" t="s">
        <v>30</v>
      </c>
      <c r="I14" t="s">
        <v>28</v>
      </c>
      <c r="J14" t="s">
        <v>419</v>
      </c>
      <c r="K14" s="10" t="s">
        <v>424</v>
      </c>
      <c r="L14" t="s">
        <v>31</v>
      </c>
      <c r="M14" t="s">
        <v>17</v>
      </c>
    </row>
    <row r="15" spans="1:17" x14ac:dyDescent="0.35">
      <c r="A15" s="1">
        <v>45666.503865740742</v>
      </c>
      <c r="B15">
        <v>1160301</v>
      </c>
      <c r="C15" t="s">
        <v>26</v>
      </c>
      <c r="D15" t="s">
        <v>316</v>
      </c>
      <c r="E15" t="s">
        <v>317</v>
      </c>
      <c r="F15" t="s">
        <v>43</v>
      </c>
      <c r="G15" t="s">
        <v>23</v>
      </c>
      <c r="H15" t="s">
        <v>30</v>
      </c>
      <c r="I15" t="s">
        <v>28</v>
      </c>
      <c r="J15" t="s">
        <v>419</v>
      </c>
      <c r="K15" t="s">
        <v>29</v>
      </c>
      <c r="L15" t="s">
        <v>31</v>
      </c>
      <c r="M15" t="s">
        <v>17</v>
      </c>
    </row>
    <row r="16" spans="1:17" x14ac:dyDescent="0.35">
      <c r="A16" s="1">
        <v>45666.503668981481</v>
      </c>
      <c r="B16">
        <v>1160300</v>
      </c>
      <c r="C16" t="s">
        <v>26</v>
      </c>
      <c r="D16" t="s">
        <v>318</v>
      </c>
      <c r="E16" t="s">
        <v>319</v>
      </c>
      <c r="F16" t="s">
        <v>44</v>
      </c>
      <c r="G16" t="s">
        <v>23</v>
      </c>
      <c r="H16" t="s">
        <v>30</v>
      </c>
      <c r="I16" t="s">
        <v>28</v>
      </c>
      <c r="J16" t="s">
        <v>419</v>
      </c>
      <c r="K16" t="s">
        <v>422</v>
      </c>
      <c r="L16" t="s">
        <v>31</v>
      </c>
      <c r="M16" t="s">
        <v>17</v>
      </c>
    </row>
    <row r="17" spans="1:13" x14ac:dyDescent="0.35">
      <c r="A17" s="1">
        <v>45666.50341435185</v>
      </c>
      <c r="B17">
        <v>1160299</v>
      </c>
      <c r="C17" t="s">
        <v>26</v>
      </c>
      <c r="D17" t="s">
        <v>316</v>
      </c>
      <c r="E17" t="s">
        <v>320</v>
      </c>
      <c r="F17" t="s">
        <v>45</v>
      </c>
      <c r="G17" t="s">
        <v>23</v>
      </c>
      <c r="H17" t="s">
        <v>30</v>
      </c>
      <c r="I17" t="s">
        <v>28</v>
      </c>
      <c r="J17" t="s">
        <v>419</v>
      </c>
      <c r="K17" t="s">
        <v>422</v>
      </c>
      <c r="L17" t="s">
        <v>31</v>
      </c>
      <c r="M17" t="s">
        <v>17</v>
      </c>
    </row>
    <row r="18" spans="1:13" x14ac:dyDescent="0.35">
      <c r="A18" s="1">
        <v>45666.503159722219</v>
      </c>
      <c r="B18">
        <v>1160298</v>
      </c>
      <c r="C18" t="s">
        <v>26</v>
      </c>
      <c r="D18" t="s">
        <v>322</v>
      </c>
      <c r="E18" t="s">
        <v>321</v>
      </c>
      <c r="F18" t="s">
        <v>46</v>
      </c>
      <c r="G18" t="s">
        <v>23</v>
      </c>
      <c r="H18" t="s">
        <v>30</v>
      </c>
      <c r="I18" t="s">
        <v>28</v>
      </c>
      <c r="J18" t="s">
        <v>294</v>
      </c>
      <c r="K18" t="s">
        <v>296</v>
      </c>
      <c r="L18" t="s">
        <v>31</v>
      </c>
      <c r="M18" t="s">
        <v>17</v>
      </c>
    </row>
    <row r="19" spans="1:13" x14ac:dyDescent="0.35">
      <c r="A19" s="1">
        <v>45666.50267361111</v>
      </c>
      <c r="B19">
        <v>1160297</v>
      </c>
      <c r="C19" t="s">
        <v>26</v>
      </c>
      <c r="D19" t="s">
        <v>316</v>
      </c>
      <c r="E19" t="s">
        <v>308</v>
      </c>
      <c r="F19" t="s">
        <v>48</v>
      </c>
      <c r="G19" t="s">
        <v>23</v>
      </c>
      <c r="H19" t="s">
        <v>30</v>
      </c>
      <c r="I19" t="s">
        <v>28</v>
      </c>
      <c r="J19" t="s">
        <v>419</v>
      </c>
      <c r="K19" t="s">
        <v>422</v>
      </c>
      <c r="L19" t="s">
        <v>31</v>
      </c>
      <c r="M19" t="s">
        <v>17</v>
      </c>
    </row>
    <row r="20" spans="1:13" x14ac:dyDescent="0.35">
      <c r="A20" s="1">
        <v>45666.502430555556</v>
      </c>
      <c r="B20">
        <v>1160296</v>
      </c>
      <c r="C20" t="s">
        <v>26</v>
      </c>
      <c r="D20" t="s">
        <v>323</v>
      </c>
      <c r="E20" t="s">
        <v>298</v>
      </c>
      <c r="F20" t="s">
        <v>49</v>
      </c>
      <c r="G20" t="s">
        <v>23</v>
      </c>
      <c r="H20" t="s">
        <v>30</v>
      </c>
      <c r="I20" t="s">
        <v>28</v>
      </c>
      <c r="J20" t="s">
        <v>419</v>
      </c>
      <c r="K20" t="s">
        <v>295</v>
      </c>
      <c r="L20" t="s">
        <v>31</v>
      </c>
      <c r="M20" t="s">
        <v>17</v>
      </c>
    </row>
    <row r="21" spans="1:13" x14ac:dyDescent="0.35">
      <c r="A21" s="1">
        <v>45666.502245370371</v>
      </c>
      <c r="B21">
        <v>1160295</v>
      </c>
      <c r="C21" t="s">
        <v>26</v>
      </c>
      <c r="D21" t="s">
        <v>324</v>
      </c>
      <c r="E21" t="s">
        <v>320</v>
      </c>
      <c r="F21" t="s">
        <v>50</v>
      </c>
      <c r="G21" t="s">
        <v>23</v>
      </c>
      <c r="H21" t="s">
        <v>30</v>
      </c>
      <c r="I21" t="s">
        <v>28</v>
      </c>
      <c r="J21" t="s">
        <v>419</v>
      </c>
      <c r="K21" t="s">
        <v>422</v>
      </c>
      <c r="L21" t="s">
        <v>31</v>
      </c>
      <c r="M21" t="s">
        <v>17</v>
      </c>
    </row>
    <row r="22" spans="1:13" x14ac:dyDescent="0.35">
      <c r="A22" s="1">
        <v>45666.502071759256</v>
      </c>
      <c r="B22">
        <v>1160294</v>
      </c>
      <c r="C22" t="s">
        <v>26</v>
      </c>
      <c r="D22" t="s">
        <v>326</v>
      </c>
      <c r="E22" t="s">
        <v>325</v>
      </c>
      <c r="F22" t="s">
        <v>51</v>
      </c>
      <c r="G22" t="s">
        <v>23</v>
      </c>
      <c r="H22" t="s">
        <v>30</v>
      </c>
      <c r="I22" t="s">
        <v>28</v>
      </c>
      <c r="J22" t="s">
        <v>419</v>
      </c>
      <c r="K22" t="s">
        <v>427</v>
      </c>
      <c r="L22" t="s">
        <v>31</v>
      </c>
      <c r="M22" t="s">
        <v>17</v>
      </c>
    </row>
    <row r="23" spans="1:13" ht="15.5" x14ac:dyDescent="0.35">
      <c r="A23" s="1">
        <v>45666.458807870367</v>
      </c>
      <c r="B23">
        <v>1160292</v>
      </c>
      <c r="C23" t="s">
        <v>20</v>
      </c>
      <c r="D23" t="s">
        <v>21</v>
      </c>
      <c r="E23" t="s">
        <v>22</v>
      </c>
      <c r="G23" t="s">
        <v>23</v>
      </c>
      <c r="J23" s="10" t="s">
        <v>294</v>
      </c>
      <c r="K23" s="10" t="s">
        <v>296</v>
      </c>
      <c r="L23" s="2" t="s">
        <v>31</v>
      </c>
      <c r="M23" t="s">
        <v>17</v>
      </c>
    </row>
    <row r="24" spans="1:13" ht="15.5" x14ac:dyDescent="0.35">
      <c r="A24" s="1">
        <v>45665.478171296294</v>
      </c>
      <c r="B24">
        <v>1159522</v>
      </c>
      <c r="C24" t="s">
        <v>26</v>
      </c>
      <c r="D24" t="s">
        <v>53</v>
      </c>
      <c r="E24" t="s">
        <v>52</v>
      </c>
      <c r="F24" t="s">
        <v>52</v>
      </c>
      <c r="G24" t="s">
        <v>23</v>
      </c>
      <c r="J24" s="10" t="s">
        <v>419</v>
      </c>
      <c r="K24" t="s">
        <v>47</v>
      </c>
      <c r="L24" s="2" t="s">
        <v>31</v>
      </c>
      <c r="M24" t="s">
        <v>17</v>
      </c>
    </row>
    <row r="25" spans="1:13" ht="15.5" x14ac:dyDescent="0.35">
      <c r="A25" s="1">
        <v>45665.477789351855</v>
      </c>
      <c r="B25">
        <v>1159521</v>
      </c>
      <c r="C25" t="s">
        <v>26</v>
      </c>
      <c r="D25" t="s">
        <v>328</v>
      </c>
      <c r="E25" t="s">
        <v>327</v>
      </c>
      <c r="F25" t="s">
        <v>54</v>
      </c>
      <c r="G25" t="s">
        <v>23</v>
      </c>
      <c r="J25" s="10" t="s">
        <v>419</v>
      </c>
      <c r="K25" s="10" t="s">
        <v>29</v>
      </c>
      <c r="L25" s="2" t="s">
        <v>31</v>
      </c>
      <c r="M25" t="s">
        <v>17</v>
      </c>
    </row>
    <row r="26" spans="1:13" ht="15.5" x14ac:dyDescent="0.35">
      <c r="A26" s="1">
        <v>45665.477199074077</v>
      </c>
      <c r="B26">
        <v>1159520</v>
      </c>
      <c r="C26" t="s">
        <v>26</v>
      </c>
      <c r="D26" t="s">
        <v>330</v>
      </c>
      <c r="E26" t="s">
        <v>329</v>
      </c>
      <c r="F26" t="s">
        <v>55</v>
      </c>
      <c r="G26" t="s">
        <v>23</v>
      </c>
      <c r="J26" s="10" t="s">
        <v>419</v>
      </c>
      <c r="K26" s="10" t="s">
        <v>422</v>
      </c>
      <c r="L26" s="2" t="s">
        <v>31</v>
      </c>
      <c r="M26" t="s">
        <v>17</v>
      </c>
    </row>
    <row r="27" spans="1:13" ht="15.5" x14ac:dyDescent="0.35">
      <c r="A27" s="1">
        <v>45665.476759259262</v>
      </c>
      <c r="B27">
        <v>1159519</v>
      </c>
      <c r="C27" t="s">
        <v>26</v>
      </c>
      <c r="D27" t="s">
        <v>332</v>
      </c>
      <c r="E27" t="s">
        <v>331</v>
      </c>
      <c r="F27" t="s">
        <v>56</v>
      </c>
      <c r="G27" t="s">
        <v>23</v>
      </c>
      <c r="J27" s="10" t="s">
        <v>419</v>
      </c>
      <c r="K27" s="10" t="s">
        <v>295</v>
      </c>
      <c r="L27" s="2" t="s">
        <v>31</v>
      </c>
      <c r="M27" t="s">
        <v>17</v>
      </c>
    </row>
    <row r="28" spans="1:13" ht="15.5" x14ac:dyDescent="0.35">
      <c r="A28" s="1">
        <v>45665.4765162037</v>
      </c>
      <c r="B28">
        <v>1159518</v>
      </c>
      <c r="C28" t="s">
        <v>26</v>
      </c>
      <c r="D28" t="s">
        <v>334</v>
      </c>
      <c r="E28" t="s">
        <v>333</v>
      </c>
      <c r="F28" t="s">
        <v>57</v>
      </c>
      <c r="G28" t="s">
        <v>23</v>
      </c>
      <c r="J28" s="10" t="s">
        <v>419</v>
      </c>
      <c r="K28" s="10" t="s">
        <v>29</v>
      </c>
      <c r="L28" s="2" t="s">
        <v>31</v>
      </c>
      <c r="M28" t="s">
        <v>17</v>
      </c>
    </row>
    <row r="29" spans="1:13" ht="15.5" x14ac:dyDescent="0.35">
      <c r="A29" s="1">
        <v>45665.476087962961</v>
      </c>
      <c r="B29">
        <v>1159517</v>
      </c>
      <c r="C29" t="s">
        <v>26</v>
      </c>
      <c r="D29" t="s">
        <v>328</v>
      </c>
      <c r="E29" t="s">
        <v>335</v>
      </c>
      <c r="F29" t="s">
        <v>58</v>
      </c>
      <c r="G29" t="s">
        <v>23</v>
      </c>
      <c r="J29" s="10" t="s">
        <v>419</v>
      </c>
      <c r="K29" t="s">
        <v>29</v>
      </c>
      <c r="L29" s="2" t="s">
        <v>31</v>
      </c>
      <c r="M29" t="s">
        <v>17</v>
      </c>
    </row>
    <row r="30" spans="1:13" ht="15.5" x14ac:dyDescent="0.35">
      <c r="A30" s="1">
        <v>45665.475428240738</v>
      </c>
      <c r="B30">
        <v>1159516</v>
      </c>
      <c r="C30" t="s">
        <v>26</v>
      </c>
      <c r="D30" t="s">
        <v>337</v>
      </c>
      <c r="E30" t="s">
        <v>336</v>
      </c>
      <c r="F30" t="s">
        <v>59</v>
      </c>
      <c r="G30" t="s">
        <v>23</v>
      </c>
      <c r="J30" s="10" t="s">
        <v>34</v>
      </c>
      <c r="K30" s="10" t="s">
        <v>295</v>
      </c>
      <c r="L30" s="2" t="s">
        <v>31</v>
      </c>
      <c r="M30" t="s">
        <v>17</v>
      </c>
    </row>
    <row r="31" spans="1:13" ht="15.5" x14ac:dyDescent="0.35">
      <c r="A31" s="1">
        <v>45663.62158564815</v>
      </c>
      <c r="B31">
        <v>1156621</v>
      </c>
      <c r="C31" t="s">
        <v>26</v>
      </c>
      <c r="D31" t="s">
        <v>21</v>
      </c>
      <c r="E31" t="s">
        <v>60</v>
      </c>
      <c r="F31" t="s">
        <v>60</v>
      </c>
      <c r="G31" t="s">
        <v>23</v>
      </c>
      <c r="J31" s="10" t="s">
        <v>34</v>
      </c>
      <c r="K31" s="10" t="s">
        <v>29</v>
      </c>
      <c r="L31" s="2" t="s">
        <v>31</v>
      </c>
      <c r="M31" t="s">
        <v>17</v>
      </c>
    </row>
    <row r="32" spans="1:13" ht="15.5" x14ac:dyDescent="0.35">
      <c r="A32" s="1">
        <v>45660.647569444445</v>
      </c>
      <c r="B32">
        <v>1156377</v>
      </c>
      <c r="C32" t="s">
        <v>26</v>
      </c>
      <c r="D32" t="s">
        <v>339</v>
      </c>
      <c r="E32" t="s">
        <v>338</v>
      </c>
      <c r="F32" t="s">
        <v>61</v>
      </c>
      <c r="G32" t="s">
        <v>23</v>
      </c>
      <c r="J32" s="10" t="s">
        <v>429</v>
      </c>
      <c r="K32" s="10" t="s">
        <v>427</v>
      </c>
      <c r="L32" s="2" t="s">
        <v>31</v>
      </c>
      <c r="M32" t="s">
        <v>17</v>
      </c>
    </row>
    <row r="33" spans="1:13" ht="15.5" x14ac:dyDescent="0.35">
      <c r="A33" s="1">
        <v>45660.647141203706</v>
      </c>
      <c r="B33">
        <v>1156376</v>
      </c>
      <c r="C33" t="s">
        <v>26</v>
      </c>
      <c r="D33" t="s">
        <v>341</v>
      </c>
      <c r="E33" t="s">
        <v>340</v>
      </c>
      <c r="F33" t="s">
        <v>62</v>
      </c>
      <c r="G33" t="s">
        <v>23</v>
      </c>
      <c r="J33" s="10" t="s">
        <v>420</v>
      </c>
      <c r="K33" s="10" t="s">
        <v>422</v>
      </c>
      <c r="L33" s="2" t="s">
        <v>31</v>
      </c>
      <c r="M33" t="s">
        <v>17</v>
      </c>
    </row>
    <row r="34" spans="1:13" ht="15.5" x14ac:dyDescent="0.35">
      <c r="A34" s="1">
        <v>45660.642210648148</v>
      </c>
      <c r="B34">
        <v>1156374</v>
      </c>
      <c r="C34" t="s">
        <v>26</v>
      </c>
      <c r="D34" t="s">
        <v>343</v>
      </c>
      <c r="E34" t="s">
        <v>342</v>
      </c>
      <c r="F34" t="s">
        <v>63</v>
      </c>
      <c r="G34" t="s">
        <v>23</v>
      </c>
      <c r="J34" s="10" t="s">
        <v>419</v>
      </c>
      <c r="K34" s="10" t="s">
        <v>29</v>
      </c>
      <c r="L34" s="2" t="s">
        <v>31</v>
      </c>
      <c r="M34" t="s">
        <v>17</v>
      </c>
    </row>
    <row r="35" spans="1:13" ht="15.5" x14ac:dyDescent="0.35">
      <c r="A35" s="1">
        <v>45660.641643518517</v>
      </c>
      <c r="B35">
        <v>1156373</v>
      </c>
      <c r="C35" t="s">
        <v>26</v>
      </c>
      <c r="D35" t="s">
        <v>345</v>
      </c>
      <c r="E35" t="s">
        <v>344</v>
      </c>
      <c r="F35" t="s">
        <v>64</v>
      </c>
      <c r="G35" t="s">
        <v>23</v>
      </c>
      <c r="J35" s="10" t="s">
        <v>420</v>
      </c>
      <c r="K35" s="10" t="s">
        <v>422</v>
      </c>
      <c r="L35" s="2" t="s">
        <v>31</v>
      </c>
      <c r="M35" t="s">
        <v>17</v>
      </c>
    </row>
    <row r="36" spans="1:13" ht="15.5" x14ac:dyDescent="0.35">
      <c r="A36" s="1">
        <v>45660.641284722224</v>
      </c>
      <c r="B36">
        <v>1156372</v>
      </c>
      <c r="C36" t="s">
        <v>26</v>
      </c>
      <c r="D36" t="s">
        <v>347</v>
      </c>
      <c r="E36" t="s">
        <v>346</v>
      </c>
      <c r="F36" t="s">
        <v>65</v>
      </c>
      <c r="G36" t="s">
        <v>23</v>
      </c>
      <c r="J36" s="10" t="s">
        <v>419</v>
      </c>
      <c r="K36" s="10" t="s">
        <v>422</v>
      </c>
      <c r="L36" s="2" t="s">
        <v>31</v>
      </c>
      <c r="M36" t="s">
        <v>17</v>
      </c>
    </row>
    <row r="37" spans="1:13" ht="15.5" x14ac:dyDescent="0.35">
      <c r="A37" s="1">
        <v>45660.640763888892</v>
      </c>
      <c r="B37">
        <v>1156371</v>
      </c>
      <c r="C37" t="s">
        <v>26</v>
      </c>
      <c r="D37" t="s">
        <v>109</v>
      </c>
      <c r="E37" t="s">
        <v>348</v>
      </c>
      <c r="F37" t="s">
        <v>66</v>
      </c>
      <c r="G37" t="s">
        <v>23</v>
      </c>
      <c r="J37" s="10" t="s">
        <v>419</v>
      </c>
      <c r="K37" s="10" t="s">
        <v>422</v>
      </c>
      <c r="L37" s="2" t="s">
        <v>31</v>
      </c>
      <c r="M37" t="s">
        <v>17</v>
      </c>
    </row>
    <row r="38" spans="1:13" ht="15.5" x14ac:dyDescent="0.35">
      <c r="A38" s="1">
        <v>45660.639907407407</v>
      </c>
      <c r="B38">
        <v>1156370</v>
      </c>
      <c r="C38" t="s">
        <v>26</v>
      </c>
      <c r="D38" t="s">
        <v>350</v>
      </c>
      <c r="E38" t="s">
        <v>349</v>
      </c>
      <c r="F38" t="s">
        <v>67</v>
      </c>
      <c r="G38" t="s">
        <v>23</v>
      </c>
      <c r="J38" s="10" t="s">
        <v>419</v>
      </c>
      <c r="K38" s="10" t="s">
        <v>422</v>
      </c>
      <c r="L38" s="2" t="s">
        <v>31</v>
      </c>
      <c r="M38" t="s">
        <v>17</v>
      </c>
    </row>
    <row r="39" spans="1:13" ht="15.5" x14ac:dyDescent="0.35">
      <c r="A39" s="1">
        <v>45660.639560185184</v>
      </c>
      <c r="B39">
        <v>1156369</v>
      </c>
      <c r="C39" t="s">
        <v>26</v>
      </c>
      <c r="D39" t="s">
        <v>328</v>
      </c>
      <c r="E39" t="s">
        <v>351</v>
      </c>
      <c r="F39" t="s">
        <v>68</v>
      </c>
      <c r="G39" t="s">
        <v>23</v>
      </c>
      <c r="J39" s="10" t="s">
        <v>419</v>
      </c>
      <c r="K39" s="10" t="s">
        <v>29</v>
      </c>
      <c r="L39" s="2" t="s">
        <v>31</v>
      </c>
      <c r="M39" t="s">
        <v>17</v>
      </c>
    </row>
    <row r="40" spans="1:13" ht="15.5" x14ac:dyDescent="0.35">
      <c r="A40" s="1">
        <v>45660.637939814813</v>
      </c>
      <c r="B40">
        <v>1156367</v>
      </c>
      <c r="C40" t="s">
        <v>26</v>
      </c>
      <c r="D40" t="s">
        <v>328</v>
      </c>
      <c r="E40" t="s">
        <v>352</v>
      </c>
      <c r="F40" t="s">
        <v>69</v>
      </c>
      <c r="G40" t="s">
        <v>23</v>
      </c>
      <c r="J40" s="10" t="s">
        <v>34</v>
      </c>
      <c r="K40" s="10" t="s">
        <v>29</v>
      </c>
      <c r="L40" s="2" t="s">
        <v>31</v>
      </c>
      <c r="M40" t="s">
        <v>17</v>
      </c>
    </row>
    <row r="41" spans="1:13" ht="15.5" x14ac:dyDescent="0.35">
      <c r="A41" s="1">
        <v>45660.637245370373</v>
      </c>
      <c r="B41">
        <v>1156366</v>
      </c>
      <c r="C41" t="s">
        <v>26</v>
      </c>
      <c r="D41" t="s">
        <v>328</v>
      </c>
      <c r="E41" t="s">
        <v>353</v>
      </c>
      <c r="F41" t="s">
        <v>70</v>
      </c>
      <c r="G41" t="s">
        <v>23</v>
      </c>
      <c r="J41" s="10" t="s">
        <v>419</v>
      </c>
      <c r="K41" s="10" t="s">
        <v>29</v>
      </c>
      <c r="L41" s="2" t="s">
        <v>31</v>
      </c>
      <c r="M41" t="s">
        <v>17</v>
      </c>
    </row>
    <row r="42" spans="1:13" ht="15.5" x14ac:dyDescent="0.35">
      <c r="A42" s="1">
        <v>45660.636284722219</v>
      </c>
      <c r="B42">
        <v>1156365</v>
      </c>
      <c r="C42" t="s">
        <v>26</v>
      </c>
      <c r="D42" t="s">
        <v>328</v>
      </c>
      <c r="E42" t="s">
        <v>354</v>
      </c>
      <c r="F42" t="s">
        <v>71</v>
      </c>
      <c r="G42" t="s">
        <v>23</v>
      </c>
      <c r="J42" s="10" t="s">
        <v>419</v>
      </c>
      <c r="K42" s="10" t="s">
        <v>29</v>
      </c>
      <c r="L42" s="2" t="s">
        <v>31</v>
      </c>
      <c r="M42" t="s">
        <v>17</v>
      </c>
    </row>
    <row r="43" spans="1:13" ht="15.5" x14ac:dyDescent="0.35">
      <c r="A43" s="1">
        <v>45660.635798611111</v>
      </c>
      <c r="B43">
        <v>1156364</v>
      </c>
      <c r="C43" t="s">
        <v>26</v>
      </c>
      <c r="D43" t="s">
        <v>356</v>
      </c>
      <c r="E43" t="s">
        <v>355</v>
      </c>
      <c r="F43" t="s">
        <v>72</v>
      </c>
      <c r="G43" t="s">
        <v>23</v>
      </c>
      <c r="J43" s="10" t="s">
        <v>34</v>
      </c>
      <c r="K43" s="10" t="s">
        <v>29</v>
      </c>
      <c r="L43" s="2" t="s">
        <v>31</v>
      </c>
      <c r="M43" t="s">
        <v>17</v>
      </c>
    </row>
    <row r="44" spans="1:13" ht="15.5" x14ac:dyDescent="0.35">
      <c r="A44" s="1">
        <v>45660.635428240741</v>
      </c>
      <c r="B44">
        <v>1156363</v>
      </c>
      <c r="C44" t="s">
        <v>26</v>
      </c>
      <c r="D44" t="s">
        <v>356</v>
      </c>
      <c r="E44" t="s">
        <v>354</v>
      </c>
      <c r="F44" t="s">
        <v>73</v>
      </c>
      <c r="G44" t="s">
        <v>23</v>
      </c>
      <c r="J44" s="10" t="s">
        <v>419</v>
      </c>
      <c r="K44" s="10" t="s">
        <v>29</v>
      </c>
      <c r="L44" s="2" t="s">
        <v>31</v>
      </c>
      <c r="M44" t="s">
        <v>17</v>
      </c>
    </row>
    <row r="45" spans="1:13" ht="15.5" x14ac:dyDescent="0.35">
      <c r="A45" s="1">
        <v>45660.635023148148</v>
      </c>
      <c r="B45">
        <v>1156361</v>
      </c>
      <c r="C45" t="s">
        <v>26</v>
      </c>
      <c r="D45" t="s">
        <v>109</v>
      </c>
      <c r="E45" t="s">
        <v>357</v>
      </c>
      <c r="F45" t="s">
        <v>74</v>
      </c>
      <c r="G45" t="s">
        <v>23</v>
      </c>
      <c r="J45" s="10" t="s">
        <v>419</v>
      </c>
      <c r="K45" s="10" t="s">
        <v>295</v>
      </c>
      <c r="L45" s="2" t="s">
        <v>31</v>
      </c>
      <c r="M45" t="s">
        <v>17</v>
      </c>
    </row>
    <row r="46" spans="1:13" ht="15.5" x14ac:dyDescent="0.35">
      <c r="A46" s="1">
        <v>45660.634606481479</v>
      </c>
      <c r="B46">
        <v>1156360</v>
      </c>
      <c r="C46" t="s">
        <v>26</v>
      </c>
      <c r="D46" t="s">
        <v>339</v>
      </c>
      <c r="E46" t="s">
        <v>358</v>
      </c>
      <c r="F46" t="s">
        <v>75</v>
      </c>
      <c r="G46" t="s">
        <v>23</v>
      </c>
      <c r="J46" s="10" t="s">
        <v>34</v>
      </c>
      <c r="K46" s="10" t="s">
        <v>29</v>
      </c>
      <c r="L46" s="2" t="s">
        <v>31</v>
      </c>
      <c r="M46" t="s">
        <v>17</v>
      </c>
    </row>
    <row r="47" spans="1:13" ht="15.5" x14ac:dyDescent="0.35">
      <c r="A47" s="1">
        <v>45660.634259259263</v>
      </c>
      <c r="B47">
        <v>1156359</v>
      </c>
      <c r="C47" t="s">
        <v>26</v>
      </c>
      <c r="D47" t="s">
        <v>360</v>
      </c>
      <c r="E47" t="s">
        <v>359</v>
      </c>
      <c r="F47" t="s">
        <v>76</v>
      </c>
      <c r="G47" t="s">
        <v>23</v>
      </c>
      <c r="J47" s="10" t="s">
        <v>34</v>
      </c>
      <c r="K47" s="10" t="s">
        <v>29</v>
      </c>
      <c r="L47" s="2" t="s">
        <v>31</v>
      </c>
      <c r="M47" t="s">
        <v>17</v>
      </c>
    </row>
    <row r="48" spans="1:13" ht="15.5" x14ac:dyDescent="0.35">
      <c r="A48" s="1">
        <v>45660.633819444447</v>
      </c>
      <c r="B48">
        <v>1156358</v>
      </c>
      <c r="C48" t="s">
        <v>26</v>
      </c>
      <c r="D48" t="s">
        <v>53</v>
      </c>
      <c r="E48" t="s">
        <v>77</v>
      </c>
      <c r="F48" t="s">
        <v>77</v>
      </c>
      <c r="G48" t="s">
        <v>23</v>
      </c>
      <c r="J48" s="10" t="s">
        <v>34</v>
      </c>
      <c r="K48" s="10" t="s">
        <v>29</v>
      </c>
      <c r="L48" s="2" t="s">
        <v>31</v>
      </c>
      <c r="M48" t="s">
        <v>17</v>
      </c>
    </row>
    <row r="49" spans="1:13" ht="15.5" x14ac:dyDescent="0.35">
      <c r="A49" s="1">
        <v>45660.63318287037</v>
      </c>
      <c r="B49">
        <v>1156357</v>
      </c>
      <c r="C49" t="s">
        <v>26</v>
      </c>
      <c r="D49" t="s">
        <v>362</v>
      </c>
      <c r="E49" t="s">
        <v>361</v>
      </c>
      <c r="F49" t="s">
        <v>78</v>
      </c>
      <c r="G49" t="s">
        <v>23</v>
      </c>
      <c r="J49" s="10" t="s">
        <v>34</v>
      </c>
      <c r="K49" s="10" t="s">
        <v>29</v>
      </c>
      <c r="L49" s="2" t="s">
        <v>31</v>
      </c>
      <c r="M49" t="s">
        <v>17</v>
      </c>
    </row>
    <row r="50" spans="1:13" ht="15.5" x14ac:dyDescent="0.35">
      <c r="A50" s="1">
        <v>45660.6328587963</v>
      </c>
      <c r="B50">
        <v>1156356</v>
      </c>
      <c r="C50" t="s">
        <v>26</v>
      </c>
      <c r="D50" t="s">
        <v>364</v>
      </c>
      <c r="E50" t="s">
        <v>363</v>
      </c>
      <c r="F50" t="s">
        <v>79</v>
      </c>
      <c r="G50" t="s">
        <v>23</v>
      </c>
      <c r="J50" t="s">
        <v>419</v>
      </c>
      <c r="K50" t="s">
        <v>422</v>
      </c>
      <c r="L50" s="2" t="s">
        <v>31</v>
      </c>
      <c r="M50" t="s">
        <v>17</v>
      </c>
    </row>
    <row r="51" spans="1:13" ht="15.5" x14ac:dyDescent="0.35">
      <c r="A51" s="1">
        <v>45660.632557870369</v>
      </c>
      <c r="B51">
        <v>1156355</v>
      </c>
      <c r="C51" t="s">
        <v>26</v>
      </c>
      <c r="D51" t="s">
        <v>364</v>
      </c>
      <c r="E51" t="s">
        <v>365</v>
      </c>
      <c r="F51" t="s">
        <v>80</v>
      </c>
      <c r="G51" t="s">
        <v>23</v>
      </c>
      <c r="J51" s="10" t="s">
        <v>419</v>
      </c>
      <c r="K51" s="10" t="s">
        <v>422</v>
      </c>
      <c r="L51" s="2" t="s">
        <v>31</v>
      </c>
      <c r="M51" t="s">
        <v>17</v>
      </c>
    </row>
    <row r="52" spans="1:13" ht="15.5" x14ac:dyDescent="0.35">
      <c r="A52" s="1">
        <v>45660.630833333336</v>
      </c>
      <c r="B52">
        <v>1156354</v>
      </c>
      <c r="C52" t="s">
        <v>26</v>
      </c>
      <c r="D52" t="s">
        <v>367</v>
      </c>
      <c r="E52" t="s">
        <v>366</v>
      </c>
      <c r="F52" t="s">
        <v>81</v>
      </c>
      <c r="G52" t="s">
        <v>23</v>
      </c>
      <c r="J52" s="10" t="s">
        <v>419</v>
      </c>
      <c r="K52" s="10" t="s">
        <v>422</v>
      </c>
      <c r="L52" s="2" t="s">
        <v>31</v>
      </c>
      <c r="M52" t="s">
        <v>17</v>
      </c>
    </row>
    <row r="53" spans="1:13" ht="15.5" x14ac:dyDescent="0.35">
      <c r="A53" s="1">
        <v>45660.628229166665</v>
      </c>
      <c r="B53">
        <v>1156353</v>
      </c>
      <c r="C53" t="s">
        <v>26</v>
      </c>
      <c r="D53" t="s">
        <v>339</v>
      </c>
      <c r="E53" t="s">
        <v>368</v>
      </c>
      <c r="F53" t="s">
        <v>82</v>
      </c>
      <c r="G53" t="s">
        <v>23</v>
      </c>
      <c r="J53" s="10" t="s">
        <v>294</v>
      </c>
      <c r="K53" s="10" t="s">
        <v>296</v>
      </c>
      <c r="L53" s="2" t="s">
        <v>31</v>
      </c>
      <c r="M53" t="s">
        <v>17</v>
      </c>
    </row>
    <row r="54" spans="1:13" ht="15.5" x14ac:dyDescent="0.35">
      <c r="A54" s="1">
        <v>45660.627881944441</v>
      </c>
      <c r="B54">
        <v>1156352</v>
      </c>
      <c r="C54" t="s">
        <v>26</v>
      </c>
      <c r="D54" t="s">
        <v>370</v>
      </c>
      <c r="E54" t="s">
        <v>369</v>
      </c>
      <c r="F54" t="s">
        <v>83</v>
      </c>
      <c r="G54" t="s">
        <v>23</v>
      </c>
      <c r="J54" t="s">
        <v>419</v>
      </c>
      <c r="K54" s="10" t="s">
        <v>29</v>
      </c>
      <c r="L54" s="2" t="s">
        <v>31</v>
      </c>
      <c r="M54" t="s">
        <v>17</v>
      </c>
    </row>
    <row r="55" spans="1:13" ht="15.5" x14ac:dyDescent="0.35">
      <c r="A55" s="1">
        <v>45660.627268518518</v>
      </c>
      <c r="B55">
        <v>1156351</v>
      </c>
      <c r="C55" t="s">
        <v>26</v>
      </c>
      <c r="D55" t="s">
        <v>372</v>
      </c>
      <c r="E55" t="s">
        <v>371</v>
      </c>
      <c r="F55" t="s">
        <v>84</v>
      </c>
      <c r="G55" t="s">
        <v>23</v>
      </c>
      <c r="J55" t="s">
        <v>419</v>
      </c>
      <c r="K55" s="10" t="s">
        <v>29</v>
      </c>
      <c r="L55" s="2" t="s">
        <v>31</v>
      </c>
      <c r="M55" t="s">
        <v>17</v>
      </c>
    </row>
    <row r="56" spans="1:13" ht="15.5" x14ac:dyDescent="0.35">
      <c r="A56" s="1">
        <v>45660.626643518517</v>
      </c>
      <c r="B56">
        <v>1156349</v>
      </c>
      <c r="C56" t="s">
        <v>26</v>
      </c>
      <c r="D56" t="s">
        <v>339</v>
      </c>
      <c r="E56" t="s">
        <v>373</v>
      </c>
      <c r="F56" t="s">
        <v>85</v>
      </c>
      <c r="G56" t="s">
        <v>23</v>
      </c>
      <c r="J56" s="10" t="s">
        <v>34</v>
      </c>
      <c r="K56" s="10" t="s">
        <v>29</v>
      </c>
      <c r="L56" s="2" t="s">
        <v>31</v>
      </c>
      <c r="M56" t="s">
        <v>17</v>
      </c>
    </row>
    <row r="57" spans="1:13" ht="15.5" x14ac:dyDescent="0.35">
      <c r="A57" s="1">
        <v>45660.626261574071</v>
      </c>
      <c r="B57">
        <v>1156348</v>
      </c>
      <c r="C57" t="s">
        <v>20</v>
      </c>
      <c r="D57" t="s">
        <v>106</v>
      </c>
      <c r="E57" t="s">
        <v>374</v>
      </c>
      <c r="F57" t="s">
        <v>86</v>
      </c>
      <c r="G57" t="s">
        <v>23</v>
      </c>
      <c r="J57" s="10" t="s">
        <v>419</v>
      </c>
      <c r="K57" s="10" t="s">
        <v>425</v>
      </c>
      <c r="L57" s="2" t="s">
        <v>31</v>
      </c>
      <c r="M57" t="s">
        <v>17</v>
      </c>
    </row>
    <row r="58" spans="1:13" ht="15.5" x14ac:dyDescent="0.35">
      <c r="A58" s="1">
        <v>45660.625740740739</v>
      </c>
      <c r="B58">
        <v>1156347</v>
      </c>
      <c r="C58" t="s">
        <v>26</v>
      </c>
      <c r="D58" t="s">
        <v>370</v>
      </c>
      <c r="E58" t="s">
        <v>375</v>
      </c>
      <c r="F58" t="s">
        <v>87</v>
      </c>
      <c r="G58" t="s">
        <v>23</v>
      </c>
      <c r="J58" t="s">
        <v>419</v>
      </c>
      <c r="K58" s="10" t="s">
        <v>29</v>
      </c>
      <c r="L58" s="2" t="s">
        <v>31</v>
      </c>
      <c r="M58" t="s">
        <v>17</v>
      </c>
    </row>
    <row r="59" spans="1:13" ht="15.5" x14ac:dyDescent="0.35">
      <c r="A59" s="1">
        <v>45660.62537037037</v>
      </c>
      <c r="B59">
        <v>1156346</v>
      </c>
      <c r="C59" t="s">
        <v>26</v>
      </c>
      <c r="D59" t="s">
        <v>106</v>
      </c>
      <c r="E59" t="s">
        <v>376</v>
      </c>
      <c r="F59" t="s">
        <v>88</v>
      </c>
      <c r="G59" t="s">
        <v>23</v>
      </c>
      <c r="J59" s="10" t="s">
        <v>294</v>
      </c>
      <c r="K59" s="10" t="s">
        <v>296</v>
      </c>
      <c r="L59" s="2" t="s">
        <v>31</v>
      </c>
      <c r="M59" t="s">
        <v>17</v>
      </c>
    </row>
    <row r="60" spans="1:13" ht="15.5" x14ac:dyDescent="0.35">
      <c r="A60" s="1">
        <v>45660.625069444446</v>
      </c>
      <c r="B60">
        <v>1156345</v>
      </c>
      <c r="C60" t="s">
        <v>26</v>
      </c>
      <c r="D60" t="s">
        <v>367</v>
      </c>
      <c r="E60" t="s">
        <v>377</v>
      </c>
      <c r="F60" t="s">
        <v>89</v>
      </c>
      <c r="G60" t="s">
        <v>23</v>
      </c>
      <c r="J60" s="10" t="s">
        <v>419</v>
      </c>
      <c r="K60" s="10" t="s">
        <v>29</v>
      </c>
      <c r="L60" s="2" t="s">
        <v>31</v>
      </c>
      <c r="M60" t="s">
        <v>17</v>
      </c>
    </row>
    <row r="61" spans="1:13" ht="15.5" x14ac:dyDescent="0.35">
      <c r="A61" s="1">
        <v>45660.624432870369</v>
      </c>
      <c r="B61">
        <v>1156344</v>
      </c>
      <c r="C61" t="s">
        <v>26</v>
      </c>
      <c r="D61" t="s">
        <v>370</v>
      </c>
      <c r="E61" t="s">
        <v>378</v>
      </c>
      <c r="F61" t="s">
        <v>90</v>
      </c>
      <c r="G61" t="s">
        <v>23</v>
      </c>
      <c r="J61" t="s">
        <v>419</v>
      </c>
      <c r="K61" s="10" t="s">
        <v>29</v>
      </c>
      <c r="L61" s="2" t="s">
        <v>31</v>
      </c>
      <c r="M61" t="s">
        <v>17</v>
      </c>
    </row>
    <row r="62" spans="1:13" ht="15.5" x14ac:dyDescent="0.35">
      <c r="A62" s="1">
        <v>45660.623738425929</v>
      </c>
      <c r="B62">
        <v>1156343</v>
      </c>
      <c r="C62" t="s">
        <v>26</v>
      </c>
      <c r="D62" t="s">
        <v>379</v>
      </c>
      <c r="E62" t="s">
        <v>344</v>
      </c>
      <c r="F62" t="s">
        <v>91</v>
      </c>
      <c r="G62" t="s">
        <v>23</v>
      </c>
      <c r="J62" s="10" t="s">
        <v>420</v>
      </c>
      <c r="K62" s="10" t="s">
        <v>422</v>
      </c>
      <c r="L62" s="2" t="s">
        <v>31</v>
      </c>
      <c r="M62" t="s">
        <v>17</v>
      </c>
    </row>
    <row r="63" spans="1:13" ht="15.5" x14ac:dyDescent="0.35">
      <c r="A63" s="1">
        <v>45660.623472222222</v>
      </c>
      <c r="B63">
        <v>1156342</v>
      </c>
      <c r="C63" t="s">
        <v>26</v>
      </c>
      <c r="D63" t="s">
        <v>372</v>
      </c>
      <c r="E63" t="s">
        <v>380</v>
      </c>
      <c r="F63" t="s">
        <v>92</v>
      </c>
      <c r="G63" t="s">
        <v>23</v>
      </c>
      <c r="J63" t="s">
        <v>419</v>
      </c>
      <c r="K63" s="10" t="s">
        <v>29</v>
      </c>
      <c r="L63" s="2" t="s">
        <v>31</v>
      </c>
      <c r="M63" t="s">
        <v>17</v>
      </c>
    </row>
    <row r="64" spans="1:13" ht="15.5" x14ac:dyDescent="0.35">
      <c r="A64" s="1">
        <v>45660.622870370367</v>
      </c>
      <c r="B64">
        <v>1156341</v>
      </c>
      <c r="C64" t="s">
        <v>26</v>
      </c>
      <c r="D64" t="s">
        <v>382</v>
      </c>
      <c r="E64" t="s">
        <v>381</v>
      </c>
      <c r="F64" t="s">
        <v>93</v>
      </c>
      <c r="G64" t="s">
        <v>23</v>
      </c>
      <c r="J64" s="10" t="s">
        <v>419</v>
      </c>
      <c r="K64" s="10" t="s">
        <v>29</v>
      </c>
      <c r="L64" s="2" t="s">
        <v>31</v>
      </c>
      <c r="M64" t="s">
        <v>17</v>
      </c>
    </row>
    <row r="65" spans="1:13" ht="15.5" x14ac:dyDescent="0.35">
      <c r="A65" s="1">
        <v>45660.622511574074</v>
      </c>
      <c r="B65">
        <v>1156340</v>
      </c>
      <c r="C65" t="s">
        <v>26</v>
      </c>
      <c r="D65" t="s">
        <v>350</v>
      </c>
      <c r="E65" t="s">
        <v>383</v>
      </c>
      <c r="F65" t="s">
        <v>94</v>
      </c>
      <c r="G65" t="s">
        <v>23</v>
      </c>
      <c r="J65" s="10" t="s">
        <v>419</v>
      </c>
      <c r="K65" s="10" t="s">
        <v>29</v>
      </c>
      <c r="L65" s="2" t="s">
        <v>31</v>
      </c>
      <c r="M65" t="s">
        <v>17</v>
      </c>
    </row>
    <row r="66" spans="1:13" ht="15.5" x14ac:dyDescent="0.35">
      <c r="A66" s="1">
        <v>45660.621666666666</v>
      </c>
      <c r="B66">
        <v>1156339</v>
      </c>
      <c r="C66" t="s">
        <v>26</v>
      </c>
      <c r="D66" t="s">
        <v>372</v>
      </c>
      <c r="E66" t="s">
        <v>384</v>
      </c>
      <c r="F66" t="s">
        <v>95</v>
      </c>
      <c r="G66" t="s">
        <v>23</v>
      </c>
      <c r="J66" s="11" t="s">
        <v>416</v>
      </c>
      <c r="K66" s="10" t="s">
        <v>421</v>
      </c>
      <c r="L66" s="2" t="s">
        <v>31</v>
      </c>
      <c r="M66" t="s">
        <v>17</v>
      </c>
    </row>
    <row r="67" spans="1:13" ht="15.5" x14ac:dyDescent="0.35">
      <c r="A67" s="1">
        <v>45659.428472222222</v>
      </c>
      <c r="B67">
        <v>1</v>
      </c>
      <c r="C67" t="s">
        <v>26</v>
      </c>
      <c r="D67" t="s">
        <v>97</v>
      </c>
      <c r="E67" t="s">
        <v>96</v>
      </c>
      <c r="G67" t="s">
        <v>23</v>
      </c>
      <c r="I67" t="s">
        <v>98</v>
      </c>
      <c r="J67" s="10" t="s">
        <v>420</v>
      </c>
      <c r="K67" s="10" t="s">
        <v>421</v>
      </c>
      <c r="L67" s="2" t="s">
        <v>31</v>
      </c>
      <c r="M67" t="s">
        <v>17</v>
      </c>
    </row>
    <row r="68" spans="1:13" ht="15.5" x14ac:dyDescent="0.35">
      <c r="A68" s="1">
        <v>45659.445138888892</v>
      </c>
      <c r="B68">
        <v>2</v>
      </c>
      <c r="C68" t="s">
        <v>26</v>
      </c>
      <c r="D68" t="s">
        <v>97</v>
      </c>
      <c r="E68" t="s">
        <v>385</v>
      </c>
      <c r="I68" t="s">
        <v>53</v>
      </c>
      <c r="J68" s="10" t="s">
        <v>420</v>
      </c>
      <c r="K68" s="10" t="s">
        <v>421</v>
      </c>
      <c r="L68" s="2" t="s">
        <v>31</v>
      </c>
      <c r="M68" t="s">
        <v>17</v>
      </c>
    </row>
    <row r="69" spans="1:13" ht="15.5" x14ac:dyDescent="0.35">
      <c r="A69" s="1">
        <v>45659.667361111111</v>
      </c>
      <c r="B69">
        <v>3</v>
      </c>
      <c r="C69" t="s">
        <v>26</v>
      </c>
      <c r="D69" t="s">
        <v>101</v>
      </c>
      <c r="E69" t="s">
        <v>100</v>
      </c>
      <c r="I69" t="s">
        <v>98</v>
      </c>
      <c r="J69" s="11" t="s">
        <v>417</v>
      </c>
      <c r="K69" s="11" t="s">
        <v>418</v>
      </c>
      <c r="L69" s="2" t="s">
        <v>31</v>
      </c>
      <c r="M69" t="s">
        <v>17</v>
      </c>
    </row>
    <row r="70" spans="1:13" ht="15.5" x14ac:dyDescent="0.35">
      <c r="A70" s="1">
        <v>45660.50277777778</v>
      </c>
      <c r="B70">
        <v>4</v>
      </c>
      <c r="C70" t="s">
        <v>26</v>
      </c>
      <c r="D70" t="s">
        <v>103</v>
      </c>
      <c r="E70" s="2" t="s">
        <v>102</v>
      </c>
      <c r="I70" t="s">
        <v>98</v>
      </c>
      <c r="J70" s="10" t="s">
        <v>420</v>
      </c>
      <c r="K70" s="10" t="s">
        <v>427</v>
      </c>
      <c r="L70" s="2" t="s">
        <v>31</v>
      </c>
      <c r="M70" t="s">
        <v>17</v>
      </c>
    </row>
    <row r="71" spans="1:13" ht="15.5" x14ac:dyDescent="0.35">
      <c r="A71" s="1">
        <v>45660.512499999997</v>
      </c>
      <c r="B71">
        <v>5</v>
      </c>
      <c r="C71" t="s">
        <v>26</v>
      </c>
      <c r="D71" t="s">
        <v>98</v>
      </c>
      <c r="E71" t="s">
        <v>104</v>
      </c>
      <c r="I71" t="s">
        <v>98</v>
      </c>
      <c r="J71" s="14" t="s">
        <v>429</v>
      </c>
      <c r="K71" s="14" t="s">
        <v>421</v>
      </c>
      <c r="L71" s="2" t="s">
        <v>31</v>
      </c>
      <c r="M71" t="s">
        <v>17</v>
      </c>
    </row>
    <row r="72" spans="1:13" ht="15.5" x14ac:dyDescent="0.35">
      <c r="A72" s="1">
        <v>45660.620833333334</v>
      </c>
      <c r="B72">
        <v>6</v>
      </c>
      <c r="C72" t="s">
        <v>26</v>
      </c>
      <c r="D72" t="s">
        <v>98</v>
      </c>
      <c r="E72" t="s">
        <v>105</v>
      </c>
      <c r="I72" t="s">
        <v>98</v>
      </c>
      <c r="J72" s="14" t="s">
        <v>431</v>
      </c>
      <c r="K72" s="14" t="s">
        <v>421</v>
      </c>
      <c r="L72" s="2" t="s">
        <v>31</v>
      </c>
      <c r="M72" t="s">
        <v>17</v>
      </c>
    </row>
    <row r="73" spans="1:13" ht="15.5" x14ac:dyDescent="0.35">
      <c r="A73" s="1">
        <v>45660.693749999999</v>
      </c>
      <c r="B73">
        <v>7</v>
      </c>
      <c r="C73" t="s">
        <v>26</v>
      </c>
      <c r="D73" t="s">
        <v>106</v>
      </c>
      <c r="E73" s="3" t="s">
        <v>386</v>
      </c>
      <c r="I73" t="s">
        <v>98</v>
      </c>
      <c r="J73" s="10" t="s">
        <v>426</v>
      </c>
      <c r="K73" s="14" t="s">
        <v>421</v>
      </c>
      <c r="L73" s="2" t="s">
        <v>31</v>
      </c>
      <c r="M73" t="s">
        <v>17</v>
      </c>
    </row>
    <row r="74" spans="1:13" ht="15.5" x14ac:dyDescent="0.35">
      <c r="A74" s="1">
        <v>45660.738194444442</v>
      </c>
      <c r="B74">
        <v>8</v>
      </c>
      <c r="C74" t="s">
        <v>20</v>
      </c>
      <c r="D74" t="s">
        <v>97</v>
      </c>
      <c r="E74" t="s">
        <v>107</v>
      </c>
      <c r="I74" t="s">
        <v>98</v>
      </c>
      <c r="J74" s="10" t="s">
        <v>419</v>
      </c>
      <c r="K74" s="10" t="s">
        <v>421</v>
      </c>
      <c r="L74" s="2" t="s">
        <v>31</v>
      </c>
      <c r="M74" t="s">
        <v>17</v>
      </c>
    </row>
    <row r="75" spans="1:13" ht="15.5" x14ac:dyDescent="0.35">
      <c r="A75" s="1">
        <v>45663.597222222219</v>
      </c>
      <c r="B75">
        <v>9</v>
      </c>
      <c r="C75" t="s">
        <v>26</v>
      </c>
      <c r="D75" t="s">
        <v>101</v>
      </c>
      <c r="E75" t="s">
        <v>108</v>
      </c>
      <c r="I75" t="s">
        <v>98</v>
      </c>
      <c r="J75" s="10" t="s">
        <v>426</v>
      </c>
      <c r="K75" s="14" t="s">
        <v>421</v>
      </c>
      <c r="L75" s="2" t="s">
        <v>31</v>
      </c>
      <c r="M75" t="s">
        <v>17</v>
      </c>
    </row>
    <row r="76" spans="1:13" ht="15.5" x14ac:dyDescent="0.35">
      <c r="A76" s="1">
        <v>45663.625694444447</v>
      </c>
      <c r="B76">
        <v>10</v>
      </c>
      <c r="C76" t="s">
        <v>26</v>
      </c>
      <c r="D76" t="s">
        <v>109</v>
      </c>
      <c r="E76" s="3" t="s">
        <v>387</v>
      </c>
      <c r="I76" t="s">
        <v>98</v>
      </c>
      <c r="J76" s="10" t="s">
        <v>426</v>
      </c>
      <c r="K76" s="14" t="s">
        <v>421</v>
      </c>
      <c r="L76" s="2" t="s">
        <v>31</v>
      </c>
      <c r="M76" t="s">
        <v>17</v>
      </c>
    </row>
    <row r="77" spans="1:13" ht="15.5" x14ac:dyDescent="0.35">
      <c r="A77" s="1">
        <v>45665.598611111112</v>
      </c>
      <c r="B77">
        <v>11</v>
      </c>
      <c r="C77" t="s">
        <v>26</v>
      </c>
      <c r="D77" t="s">
        <v>111</v>
      </c>
      <c r="E77" s="4" t="s">
        <v>110</v>
      </c>
      <c r="I77" t="s">
        <v>98</v>
      </c>
      <c r="J77" t="s">
        <v>419</v>
      </c>
      <c r="K77" s="14" t="s">
        <v>421</v>
      </c>
      <c r="L77" s="2" t="s">
        <v>31</v>
      </c>
      <c r="M77" t="s">
        <v>17</v>
      </c>
    </row>
    <row r="78" spans="1:13" ht="15.5" x14ac:dyDescent="0.35">
      <c r="A78" s="1">
        <v>45665.624305555553</v>
      </c>
      <c r="B78">
        <v>12</v>
      </c>
      <c r="C78" t="s">
        <v>26</v>
      </c>
      <c r="D78" t="s">
        <v>112</v>
      </c>
      <c r="E78" t="s">
        <v>388</v>
      </c>
      <c r="I78" t="s">
        <v>98</v>
      </c>
      <c r="J78" t="s">
        <v>420</v>
      </c>
      <c r="K78" s="14" t="s">
        <v>421</v>
      </c>
      <c r="L78" s="2" t="s">
        <v>31</v>
      </c>
      <c r="M78" t="s">
        <v>17</v>
      </c>
    </row>
    <row r="79" spans="1:13" ht="15.5" x14ac:dyDescent="0.35">
      <c r="A79" s="1">
        <v>45667.574999999997</v>
      </c>
      <c r="B79">
        <v>13</v>
      </c>
      <c r="C79" t="s">
        <v>26</v>
      </c>
      <c r="D79" t="s">
        <v>113</v>
      </c>
      <c r="E79" t="s">
        <v>389</v>
      </c>
      <c r="I79" t="s">
        <v>98</v>
      </c>
      <c r="J79" s="10" t="s">
        <v>426</v>
      </c>
      <c r="K79" s="14" t="s">
        <v>421</v>
      </c>
      <c r="L79" s="2" t="s">
        <v>31</v>
      </c>
      <c r="M79" t="s">
        <v>17</v>
      </c>
    </row>
    <row r="80" spans="1:13" ht="15.5" x14ac:dyDescent="0.35">
      <c r="A80" s="1">
        <v>45672.34652777778</v>
      </c>
      <c r="B80">
        <v>14</v>
      </c>
      <c r="C80" t="s">
        <v>26</v>
      </c>
      <c r="D80" t="s">
        <v>97</v>
      </c>
      <c r="E80" t="s">
        <v>390</v>
      </c>
      <c r="I80" t="s">
        <v>98</v>
      </c>
      <c r="J80" s="10" t="s">
        <v>420</v>
      </c>
      <c r="K80" s="10" t="s">
        <v>421</v>
      </c>
      <c r="L80" s="2" t="s">
        <v>31</v>
      </c>
      <c r="M80" t="s">
        <v>17</v>
      </c>
    </row>
    <row r="81" spans="1:13" ht="15.5" x14ac:dyDescent="0.35">
      <c r="A81" s="1">
        <v>45672.368750000001</v>
      </c>
      <c r="B81">
        <v>15</v>
      </c>
      <c r="C81" t="s">
        <v>26</v>
      </c>
      <c r="D81" t="s">
        <v>97</v>
      </c>
      <c r="E81" t="s">
        <v>99</v>
      </c>
      <c r="I81" t="s">
        <v>53</v>
      </c>
      <c r="J81" s="10" t="s">
        <v>420</v>
      </c>
      <c r="K81" s="10" t="s">
        <v>421</v>
      </c>
      <c r="L81" s="2" t="s">
        <v>31</v>
      </c>
      <c r="M81" t="s">
        <v>17</v>
      </c>
    </row>
    <row r="82" spans="1:13" ht="15.5" x14ac:dyDescent="0.35">
      <c r="A82" s="1">
        <v>45672.619444444441</v>
      </c>
      <c r="B82">
        <v>16</v>
      </c>
      <c r="C82" t="s">
        <v>26</v>
      </c>
      <c r="D82" t="s">
        <v>285</v>
      </c>
      <c r="E82" t="s">
        <v>286</v>
      </c>
      <c r="I82" t="s">
        <v>98</v>
      </c>
      <c r="J82" s="10" t="s">
        <v>419</v>
      </c>
      <c r="K82" s="10" t="s">
        <v>421</v>
      </c>
      <c r="L82" s="2" t="s">
        <v>31</v>
      </c>
      <c r="M82" t="s">
        <v>17</v>
      </c>
    </row>
    <row r="83" spans="1:13" ht="15.5" x14ac:dyDescent="0.35">
      <c r="A83" s="1">
        <v>45677.387499999997</v>
      </c>
      <c r="B83">
        <v>17</v>
      </c>
      <c r="C83" t="s">
        <v>26</v>
      </c>
      <c r="D83" t="s">
        <v>101</v>
      </c>
      <c r="E83" t="s">
        <v>287</v>
      </c>
      <c r="I83" t="s">
        <v>98</v>
      </c>
      <c r="J83" s="10" t="s">
        <v>426</v>
      </c>
      <c r="K83" s="14" t="s">
        <v>421</v>
      </c>
      <c r="L83" s="2" t="s">
        <v>31</v>
      </c>
      <c r="M83" t="s">
        <v>17</v>
      </c>
    </row>
    <row r="84" spans="1:13" ht="15.5" x14ac:dyDescent="0.35">
      <c r="A84" s="1">
        <v>45681.57916666667</v>
      </c>
      <c r="B84">
        <v>18</v>
      </c>
      <c r="C84" t="s">
        <v>26</v>
      </c>
      <c r="D84" t="s">
        <v>289</v>
      </c>
      <c r="E84" s="8" t="s">
        <v>288</v>
      </c>
      <c r="I84" t="s">
        <v>98</v>
      </c>
      <c r="J84" s="10" t="s">
        <v>426</v>
      </c>
      <c r="K84" s="14" t="s">
        <v>421</v>
      </c>
      <c r="L84" s="2" t="s">
        <v>31</v>
      </c>
      <c r="M84" t="s">
        <v>17</v>
      </c>
    </row>
    <row r="85" spans="1:13" ht="15.5" x14ac:dyDescent="0.35">
      <c r="A85" s="1">
        <v>45681.732638888891</v>
      </c>
      <c r="B85">
        <v>19</v>
      </c>
      <c r="C85" t="s">
        <v>26</v>
      </c>
      <c r="D85" t="s">
        <v>290</v>
      </c>
      <c r="E85" t="s">
        <v>286</v>
      </c>
      <c r="I85" t="s">
        <v>98</v>
      </c>
      <c r="J85" s="10" t="s">
        <v>419</v>
      </c>
      <c r="K85" s="10" t="s">
        <v>421</v>
      </c>
      <c r="L85" s="2" t="s">
        <v>31</v>
      </c>
      <c r="M85" t="s">
        <v>17</v>
      </c>
    </row>
    <row r="86" spans="1:13" ht="15.5" x14ac:dyDescent="0.35">
      <c r="A86" s="2">
        <v>28</v>
      </c>
      <c r="B86">
        <v>20</v>
      </c>
      <c r="C86" t="s">
        <v>26</v>
      </c>
      <c r="D86" s="2" t="s">
        <v>392</v>
      </c>
      <c r="E86" s="2" t="s">
        <v>391</v>
      </c>
      <c r="F86" s="2" t="s">
        <v>114</v>
      </c>
      <c r="H86" s="2" t="s">
        <v>30</v>
      </c>
      <c r="I86" s="2" t="s">
        <v>28</v>
      </c>
      <c r="J86" s="2" t="s">
        <v>34</v>
      </c>
      <c r="K86" s="2" t="s">
        <v>422</v>
      </c>
      <c r="L86" s="2" t="s">
        <v>31</v>
      </c>
      <c r="M86" t="s">
        <v>17</v>
      </c>
    </row>
    <row r="87" spans="1:13" ht="15.5" x14ac:dyDescent="0.35">
      <c r="A87" s="2">
        <v>28</v>
      </c>
      <c r="B87">
        <v>21</v>
      </c>
      <c r="C87" t="s">
        <v>26</v>
      </c>
      <c r="D87" s="2" t="s">
        <v>392</v>
      </c>
      <c r="E87" s="2" t="s">
        <v>393</v>
      </c>
      <c r="F87" s="2" t="s">
        <v>115</v>
      </c>
      <c r="H87" s="2" t="s">
        <v>30</v>
      </c>
      <c r="I87" s="2" t="s">
        <v>28</v>
      </c>
      <c r="J87" s="2" t="s">
        <v>419</v>
      </c>
      <c r="K87" s="2" t="s">
        <v>29</v>
      </c>
      <c r="L87" s="2" t="s">
        <v>31</v>
      </c>
      <c r="M87" t="s">
        <v>17</v>
      </c>
    </row>
    <row r="88" spans="1:13" ht="15.5" x14ac:dyDescent="0.35">
      <c r="A88" s="2">
        <v>28</v>
      </c>
      <c r="B88">
        <v>22</v>
      </c>
      <c r="C88" t="s">
        <v>26</v>
      </c>
      <c r="D88" s="2" t="s">
        <v>28</v>
      </c>
      <c r="E88" s="2" t="s">
        <v>394</v>
      </c>
      <c r="F88" s="2" t="s">
        <v>116</v>
      </c>
      <c r="H88" s="2" t="s">
        <v>30</v>
      </c>
      <c r="I88" s="2" t="s">
        <v>28</v>
      </c>
      <c r="J88" s="2" t="s">
        <v>34</v>
      </c>
      <c r="K88" s="2" t="s">
        <v>421</v>
      </c>
      <c r="L88" s="2" t="s">
        <v>31</v>
      </c>
      <c r="M88" t="s">
        <v>17</v>
      </c>
    </row>
    <row r="89" spans="1:13" ht="15.5" x14ac:dyDescent="0.35">
      <c r="A89" s="2">
        <v>28</v>
      </c>
      <c r="B89">
        <v>23</v>
      </c>
      <c r="C89" t="s">
        <v>26</v>
      </c>
      <c r="D89" s="2" t="s">
        <v>27</v>
      </c>
      <c r="E89" s="2" t="s">
        <v>117</v>
      </c>
      <c r="F89" s="2" t="s">
        <v>117</v>
      </c>
      <c r="H89" s="2" t="s">
        <v>30</v>
      </c>
      <c r="I89" s="2" t="s">
        <v>28</v>
      </c>
      <c r="J89" s="2" t="s">
        <v>34</v>
      </c>
      <c r="K89" s="2" t="s">
        <v>422</v>
      </c>
      <c r="L89" s="2" t="s">
        <v>31</v>
      </c>
      <c r="M89" t="s">
        <v>17</v>
      </c>
    </row>
    <row r="90" spans="1:13" ht="15.5" x14ac:dyDescent="0.35">
      <c r="A90" s="9">
        <v>27</v>
      </c>
      <c r="B90">
        <v>24</v>
      </c>
      <c r="C90" t="s">
        <v>26</v>
      </c>
      <c r="D90" s="2" t="s">
        <v>27</v>
      </c>
      <c r="E90" s="9" t="s">
        <v>118</v>
      </c>
      <c r="F90" s="9" t="s">
        <v>118</v>
      </c>
      <c r="H90" s="2" t="s">
        <v>30</v>
      </c>
      <c r="I90" s="2" t="s">
        <v>28</v>
      </c>
      <c r="J90" s="2" t="s">
        <v>34</v>
      </c>
      <c r="K90" s="2" t="s">
        <v>421</v>
      </c>
      <c r="L90" s="2" t="s">
        <v>31</v>
      </c>
      <c r="M90" t="s">
        <v>17</v>
      </c>
    </row>
    <row r="91" spans="1:13" ht="15.5" x14ac:dyDescent="0.35">
      <c r="A91" s="9">
        <v>27</v>
      </c>
      <c r="B91">
        <v>25</v>
      </c>
      <c r="C91" t="s">
        <v>26</v>
      </c>
      <c r="D91" s="2" t="s">
        <v>27</v>
      </c>
      <c r="E91" s="9" t="s">
        <v>119</v>
      </c>
      <c r="F91" s="9" t="s">
        <v>119</v>
      </c>
      <c r="H91" s="2" t="s">
        <v>30</v>
      </c>
      <c r="I91" s="2" t="s">
        <v>28</v>
      </c>
      <c r="J91" s="2" t="s">
        <v>34</v>
      </c>
      <c r="K91" s="2" t="s">
        <v>421</v>
      </c>
      <c r="L91" s="2" t="s">
        <v>31</v>
      </c>
      <c r="M91" t="s">
        <v>17</v>
      </c>
    </row>
    <row r="92" spans="1:13" ht="15.5" x14ac:dyDescent="0.35">
      <c r="A92" s="2">
        <v>27</v>
      </c>
      <c r="B92">
        <v>26</v>
      </c>
      <c r="C92" t="s">
        <v>26</v>
      </c>
      <c r="D92" s="2" t="s">
        <v>396</v>
      </c>
      <c r="E92" s="2" t="s">
        <v>395</v>
      </c>
      <c r="F92" s="2" t="s">
        <v>120</v>
      </c>
      <c r="H92" s="2" t="s">
        <v>30</v>
      </c>
      <c r="I92" s="2" t="s">
        <v>28</v>
      </c>
      <c r="J92" s="2" t="s">
        <v>419</v>
      </c>
      <c r="K92" s="2" t="s">
        <v>29</v>
      </c>
      <c r="L92" s="2" t="s">
        <v>31</v>
      </c>
      <c r="M92" t="s">
        <v>17</v>
      </c>
    </row>
    <row r="93" spans="1:13" ht="15.5" x14ac:dyDescent="0.35">
      <c r="A93" s="2">
        <v>27</v>
      </c>
      <c r="B93">
        <v>27</v>
      </c>
      <c r="C93" t="s">
        <v>26</v>
      </c>
      <c r="D93" s="2" t="s">
        <v>397</v>
      </c>
      <c r="E93" s="2" t="s">
        <v>398</v>
      </c>
      <c r="F93" s="2" t="s">
        <v>121</v>
      </c>
      <c r="H93" s="2" t="s">
        <v>30</v>
      </c>
      <c r="I93" s="2" t="s">
        <v>28</v>
      </c>
      <c r="J93" s="2" t="s">
        <v>294</v>
      </c>
      <c r="K93" s="2" t="s">
        <v>296</v>
      </c>
      <c r="L93" s="2" t="s">
        <v>31</v>
      </c>
      <c r="M93" t="s">
        <v>17</v>
      </c>
    </row>
    <row r="94" spans="1:13" ht="15.5" x14ac:dyDescent="0.35">
      <c r="A94" s="2">
        <v>24</v>
      </c>
      <c r="B94">
        <v>28</v>
      </c>
      <c r="C94" t="s">
        <v>26</v>
      </c>
      <c r="D94" s="2" t="s">
        <v>400</v>
      </c>
      <c r="E94" s="2" t="s">
        <v>399</v>
      </c>
      <c r="F94" s="2" t="s">
        <v>122</v>
      </c>
      <c r="H94" s="2" t="s">
        <v>30</v>
      </c>
      <c r="I94" s="2" t="s">
        <v>28</v>
      </c>
      <c r="J94" s="2" t="s">
        <v>34</v>
      </c>
      <c r="K94" s="2" t="s">
        <v>422</v>
      </c>
      <c r="L94" s="2" t="s">
        <v>31</v>
      </c>
      <c r="M94" t="s">
        <v>17</v>
      </c>
    </row>
    <row r="95" spans="1:13" ht="15.5" x14ac:dyDescent="0.35">
      <c r="A95" s="2">
        <v>24</v>
      </c>
      <c r="B95">
        <v>29</v>
      </c>
      <c r="C95" t="s">
        <v>26</v>
      </c>
      <c r="D95" s="2" t="s">
        <v>400</v>
      </c>
      <c r="E95" s="2" t="s">
        <v>401</v>
      </c>
      <c r="F95" s="2" t="s">
        <v>123</v>
      </c>
      <c r="H95" s="2" t="s">
        <v>30</v>
      </c>
      <c r="I95" s="2" t="s">
        <v>28</v>
      </c>
      <c r="J95" s="2" t="s">
        <v>34</v>
      </c>
      <c r="K95" s="2" t="s">
        <v>422</v>
      </c>
      <c r="L95" s="2" t="s">
        <v>31</v>
      </c>
      <c r="M95" t="s">
        <v>17</v>
      </c>
    </row>
    <row r="96" spans="1:13" ht="15.5" x14ac:dyDescent="0.35">
      <c r="A96" s="2">
        <v>24</v>
      </c>
      <c r="B96">
        <v>30</v>
      </c>
      <c r="C96" t="s">
        <v>26</v>
      </c>
      <c r="D96" s="2" t="s">
        <v>27</v>
      </c>
      <c r="E96" s="2" t="s">
        <v>124</v>
      </c>
      <c r="F96" s="2" t="s">
        <v>124</v>
      </c>
      <c r="H96" s="2" t="s">
        <v>30</v>
      </c>
      <c r="I96" s="2" t="s">
        <v>28</v>
      </c>
      <c r="J96" s="2" t="s">
        <v>34</v>
      </c>
      <c r="K96" s="2" t="s">
        <v>29</v>
      </c>
      <c r="L96" s="2" t="s">
        <v>31</v>
      </c>
      <c r="M96" t="s">
        <v>17</v>
      </c>
    </row>
    <row r="97" spans="1:13" ht="15.5" x14ac:dyDescent="0.35">
      <c r="A97" s="2">
        <v>24</v>
      </c>
      <c r="B97">
        <v>31</v>
      </c>
      <c r="C97" t="s">
        <v>26</v>
      </c>
      <c r="D97" s="2" t="s">
        <v>403</v>
      </c>
      <c r="E97" s="2" t="s">
        <v>402</v>
      </c>
      <c r="F97" s="2" t="s">
        <v>125</v>
      </c>
      <c r="H97" s="2" t="s">
        <v>30</v>
      </c>
      <c r="I97" s="2" t="s">
        <v>28</v>
      </c>
      <c r="J97" s="2" t="s">
        <v>419</v>
      </c>
      <c r="K97" s="2" t="s">
        <v>29</v>
      </c>
      <c r="L97" s="2" t="s">
        <v>31</v>
      </c>
      <c r="M97" t="s">
        <v>17</v>
      </c>
    </row>
    <row r="98" spans="1:13" ht="15.5" x14ac:dyDescent="0.35">
      <c r="A98" s="2">
        <v>24</v>
      </c>
      <c r="B98">
        <v>32</v>
      </c>
      <c r="C98" t="s">
        <v>26</v>
      </c>
      <c r="D98" s="2" t="s">
        <v>396</v>
      </c>
      <c r="E98" s="2" t="s">
        <v>404</v>
      </c>
      <c r="F98" s="2" t="s">
        <v>126</v>
      </c>
      <c r="H98" s="2" t="s">
        <v>30</v>
      </c>
      <c r="I98" s="2" t="s">
        <v>28</v>
      </c>
      <c r="J98" s="2" t="s">
        <v>294</v>
      </c>
      <c r="K98" s="2" t="s">
        <v>296</v>
      </c>
      <c r="L98" s="2" t="s">
        <v>31</v>
      </c>
      <c r="M98" t="s">
        <v>17</v>
      </c>
    </row>
    <row r="99" spans="1:13" ht="15.5" x14ac:dyDescent="0.35">
      <c r="A99" s="2">
        <v>24</v>
      </c>
      <c r="B99">
        <v>33</v>
      </c>
      <c r="C99" t="s">
        <v>26</v>
      </c>
      <c r="D99" s="2" t="s">
        <v>28</v>
      </c>
      <c r="E99" s="2" t="s">
        <v>405</v>
      </c>
      <c r="F99" s="2" t="s">
        <v>127</v>
      </c>
      <c r="H99" s="2" t="s">
        <v>30</v>
      </c>
      <c r="I99" s="2" t="s">
        <v>28</v>
      </c>
      <c r="J99" s="2" t="s">
        <v>419</v>
      </c>
      <c r="K99" s="2" t="s">
        <v>422</v>
      </c>
      <c r="L99" s="2" t="s">
        <v>31</v>
      </c>
      <c r="M99" t="s">
        <v>17</v>
      </c>
    </row>
    <row r="100" spans="1:13" ht="15.5" x14ac:dyDescent="0.35">
      <c r="A100" s="2">
        <v>23</v>
      </c>
      <c r="B100">
        <v>34</v>
      </c>
      <c r="C100" t="s">
        <v>26</v>
      </c>
      <c r="D100" s="2" t="s">
        <v>28</v>
      </c>
      <c r="E100" s="2" t="s">
        <v>406</v>
      </c>
      <c r="F100" s="2" t="s">
        <v>128</v>
      </c>
      <c r="H100" s="2" t="s">
        <v>30</v>
      </c>
      <c r="I100" s="2" t="s">
        <v>28</v>
      </c>
      <c r="J100" s="2" t="s">
        <v>34</v>
      </c>
      <c r="K100" s="2" t="s">
        <v>427</v>
      </c>
      <c r="L100" s="2" t="s">
        <v>31</v>
      </c>
      <c r="M100" t="s">
        <v>17</v>
      </c>
    </row>
    <row r="101" spans="1:13" ht="15.5" x14ac:dyDescent="0.35">
      <c r="A101" s="2">
        <v>23</v>
      </c>
      <c r="B101">
        <v>35</v>
      </c>
      <c r="C101" t="s">
        <v>26</v>
      </c>
      <c r="D101" s="2" t="s">
        <v>408</v>
      </c>
      <c r="E101" s="2" t="s">
        <v>407</v>
      </c>
      <c r="F101" s="2" t="s">
        <v>129</v>
      </c>
      <c r="H101" s="2" t="s">
        <v>30</v>
      </c>
      <c r="I101" s="2" t="s">
        <v>28</v>
      </c>
      <c r="J101" s="2" t="s">
        <v>419</v>
      </c>
      <c r="K101" s="2" t="s">
        <v>29</v>
      </c>
      <c r="L101" s="2" t="s">
        <v>31</v>
      </c>
      <c r="M101" t="s">
        <v>17</v>
      </c>
    </row>
    <row r="102" spans="1:13" ht="15.5" x14ac:dyDescent="0.35">
      <c r="A102" s="2">
        <v>23</v>
      </c>
      <c r="B102">
        <v>36</v>
      </c>
      <c r="C102" t="s">
        <v>26</v>
      </c>
      <c r="D102" s="2" t="s">
        <v>28</v>
      </c>
      <c r="E102" s="2" t="s">
        <v>409</v>
      </c>
      <c r="F102" s="2" t="s">
        <v>117</v>
      </c>
      <c r="H102" s="2" t="s">
        <v>30</v>
      </c>
      <c r="I102" s="2" t="s">
        <v>28</v>
      </c>
      <c r="J102" s="2" t="s">
        <v>34</v>
      </c>
      <c r="K102" s="2" t="s">
        <v>422</v>
      </c>
      <c r="L102" s="2" t="s">
        <v>31</v>
      </c>
      <c r="M102" t="s">
        <v>17</v>
      </c>
    </row>
    <row r="103" spans="1:13" ht="15.5" x14ac:dyDescent="0.35">
      <c r="A103" s="2">
        <v>23</v>
      </c>
      <c r="B103">
        <v>37</v>
      </c>
      <c r="C103" t="s">
        <v>26</v>
      </c>
      <c r="D103" s="2" t="s">
        <v>27</v>
      </c>
      <c r="E103" s="2" t="s">
        <v>117</v>
      </c>
      <c r="F103" s="2" t="s">
        <v>117</v>
      </c>
      <c r="H103" s="2" t="s">
        <v>30</v>
      </c>
      <c r="I103" s="2" t="s">
        <v>28</v>
      </c>
      <c r="J103" s="2" t="s">
        <v>34</v>
      </c>
      <c r="K103" s="2" t="s">
        <v>422</v>
      </c>
      <c r="L103" s="2" t="s">
        <v>31</v>
      </c>
      <c r="M103" t="s">
        <v>17</v>
      </c>
    </row>
    <row r="104" spans="1:13" ht="15.5" x14ac:dyDescent="0.35">
      <c r="A104" s="2">
        <v>21</v>
      </c>
      <c r="B104">
        <v>38</v>
      </c>
      <c r="C104" t="s">
        <v>26</v>
      </c>
      <c r="D104" s="2" t="s">
        <v>27</v>
      </c>
      <c r="E104" s="2" t="s">
        <v>130</v>
      </c>
      <c r="F104" s="2" t="s">
        <v>130</v>
      </c>
      <c r="H104" s="2" t="s">
        <v>30</v>
      </c>
      <c r="I104" s="2" t="s">
        <v>28</v>
      </c>
      <c r="J104" s="2" t="s">
        <v>34</v>
      </c>
      <c r="K104" s="2" t="s">
        <v>29</v>
      </c>
      <c r="L104" s="2" t="s">
        <v>31</v>
      </c>
      <c r="M104" t="s">
        <v>17</v>
      </c>
    </row>
    <row r="105" spans="1:13" ht="15.5" x14ac:dyDescent="0.35">
      <c r="A105" s="2">
        <v>21</v>
      </c>
      <c r="B105">
        <v>39</v>
      </c>
      <c r="C105" t="s">
        <v>26</v>
      </c>
      <c r="D105" s="2" t="s">
        <v>27</v>
      </c>
      <c r="E105" s="2" t="s">
        <v>131</v>
      </c>
      <c r="F105" s="2" t="s">
        <v>131</v>
      </c>
      <c r="H105" s="2" t="s">
        <v>30</v>
      </c>
      <c r="I105" s="2" t="s">
        <v>28</v>
      </c>
      <c r="J105" s="2" t="s">
        <v>34</v>
      </c>
      <c r="K105" s="2" t="s">
        <v>427</v>
      </c>
      <c r="L105" s="2" t="s">
        <v>31</v>
      </c>
      <c r="M105" t="s">
        <v>17</v>
      </c>
    </row>
    <row r="106" spans="1:13" ht="15.5" x14ac:dyDescent="0.35">
      <c r="A106" s="2">
        <v>20</v>
      </c>
      <c r="B106">
        <v>40</v>
      </c>
      <c r="C106" t="s">
        <v>26</v>
      </c>
      <c r="D106" s="2" t="s">
        <v>27</v>
      </c>
      <c r="E106" s="2" t="s">
        <v>118</v>
      </c>
      <c r="F106" s="2" t="s">
        <v>118</v>
      </c>
      <c r="H106" s="2" t="s">
        <v>30</v>
      </c>
      <c r="I106" s="2" t="s">
        <v>28</v>
      </c>
      <c r="J106" s="2" t="s">
        <v>420</v>
      </c>
      <c r="K106" s="2" t="s">
        <v>421</v>
      </c>
      <c r="L106" s="2" t="s">
        <v>31</v>
      </c>
      <c r="M106" t="s">
        <v>17</v>
      </c>
    </row>
    <row r="107" spans="1:13" ht="15.5" x14ac:dyDescent="0.35">
      <c r="A107" s="2">
        <v>20</v>
      </c>
      <c r="B107">
        <v>41</v>
      </c>
      <c r="C107" t="s">
        <v>26</v>
      </c>
      <c r="D107" s="2" t="s">
        <v>27</v>
      </c>
      <c r="E107" s="2" t="s">
        <v>119</v>
      </c>
      <c r="F107" s="2" t="s">
        <v>119</v>
      </c>
      <c r="H107" s="2" t="s">
        <v>30</v>
      </c>
      <c r="I107" s="2" t="s">
        <v>28</v>
      </c>
      <c r="J107" s="2" t="s">
        <v>420</v>
      </c>
      <c r="K107" s="2" t="s">
        <v>421</v>
      </c>
      <c r="L107" s="2" t="s">
        <v>31</v>
      </c>
      <c r="M107" t="s">
        <v>17</v>
      </c>
    </row>
    <row r="108" spans="1:13" ht="15.5" x14ac:dyDescent="0.35">
      <c r="A108" s="2">
        <v>20</v>
      </c>
      <c r="B108">
        <v>42</v>
      </c>
      <c r="C108" t="s">
        <v>26</v>
      </c>
      <c r="D108" s="2" t="s">
        <v>410</v>
      </c>
      <c r="E108" s="2" t="s">
        <v>132</v>
      </c>
      <c r="F108" s="2" t="s">
        <v>132</v>
      </c>
      <c r="H108" s="2" t="s">
        <v>30</v>
      </c>
      <c r="I108" s="2" t="s">
        <v>28</v>
      </c>
      <c r="J108" s="2" t="s">
        <v>419</v>
      </c>
      <c r="K108" s="2" t="s">
        <v>422</v>
      </c>
      <c r="L108" s="2" t="s">
        <v>31</v>
      </c>
      <c r="M108" t="s">
        <v>17</v>
      </c>
    </row>
    <row r="109" spans="1:13" ht="15.5" x14ac:dyDescent="0.35">
      <c r="A109" s="2">
        <v>20</v>
      </c>
      <c r="B109">
        <v>43</v>
      </c>
      <c r="C109" t="s">
        <v>26</v>
      </c>
      <c r="D109" s="2" t="s">
        <v>27</v>
      </c>
      <c r="E109" s="2" t="s">
        <v>117</v>
      </c>
      <c r="F109" s="2" t="s">
        <v>117</v>
      </c>
      <c r="H109" s="2" t="s">
        <v>30</v>
      </c>
      <c r="I109" s="2" t="s">
        <v>28</v>
      </c>
      <c r="J109" s="2" t="s">
        <v>34</v>
      </c>
      <c r="K109" s="2" t="s">
        <v>422</v>
      </c>
      <c r="L109" s="2" t="s">
        <v>31</v>
      </c>
      <c r="M109" t="s">
        <v>17</v>
      </c>
    </row>
    <row r="110" spans="1:13" ht="15.5" x14ac:dyDescent="0.35">
      <c r="A110" s="2">
        <v>17</v>
      </c>
      <c r="B110">
        <v>44</v>
      </c>
      <c r="C110" t="s">
        <v>26</v>
      </c>
      <c r="D110" s="2" t="s">
        <v>303</v>
      </c>
      <c r="E110" s="2" t="s">
        <v>133</v>
      </c>
      <c r="F110" s="2" t="s">
        <v>133</v>
      </c>
      <c r="H110" s="2" t="s">
        <v>30</v>
      </c>
      <c r="I110" s="2" t="s">
        <v>28</v>
      </c>
      <c r="J110" s="2" t="s">
        <v>420</v>
      </c>
      <c r="K110" s="2" t="s">
        <v>427</v>
      </c>
      <c r="L110" s="2" t="s">
        <v>31</v>
      </c>
      <c r="M110" t="s">
        <v>17</v>
      </c>
    </row>
    <row r="111" spans="1:13" ht="15.5" x14ac:dyDescent="0.35">
      <c r="A111" s="2">
        <v>16</v>
      </c>
      <c r="B111">
        <v>45</v>
      </c>
      <c r="C111" t="s">
        <v>26</v>
      </c>
      <c r="D111" s="2" t="s">
        <v>311</v>
      </c>
      <c r="E111" s="2" t="s">
        <v>134</v>
      </c>
      <c r="F111" s="2" t="s">
        <v>134</v>
      </c>
      <c r="H111" s="2" t="s">
        <v>30</v>
      </c>
      <c r="I111" s="2" t="s">
        <v>28</v>
      </c>
      <c r="J111" s="2" t="s">
        <v>419</v>
      </c>
      <c r="K111" s="2" t="s">
        <v>432</v>
      </c>
      <c r="L111" s="2" t="s">
        <v>31</v>
      </c>
      <c r="M111" t="s">
        <v>17</v>
      </c>
    </row>
    <row r="112" spans="1:13" ht="15.5" x14ac:dyDescent="0.35">
      <c r="A112" s="2">
        <v>16</v>
      </c>
      <c r="B112">
        <v>46</v>
      </c>
      <c r="C112" t="s">
        <v>26</v>
      </c>
      <c r="D112" s="2" t="s">
        <v>307</v>
      </c>
      <c r="E112" s="2" t="s">
        <v>135</v>
      </c>
      <c r="F112" s="2" t="s">
        <v>135</v>
      </c>
      <c r="H112" s="2" t="s">
        <v>30</v>
      </c>
      <c r="I112" s="2" t="s">
        <v>28</v>
      </c>
      <c r="J112" s="2" t="s">
        <v>419</v>
      </c>
      <c r="K112" s="2" t="s">
        <v>422</v>
      </c>
      <c r="L112" s="2" t="s">
        <v>31</v>
      </c>
      <c r="M112" t="s">
        <v>17</v>
      </c>
    </row>
    <row r="113" spans="1:13" ht="15.5" x14ac:dyDescent="0.35">
      <c r="A113" s="2">
        <v>15</v>
      </c>
      <c r="B113">
        <v>47</v>
      </c>
      <c r="C113" t="s">
        <v>26</v>
      </c>
      <c r="D113" s="2" t="s">
        <v>411</v>
      </c>
      <c r="E113" s="2" t="s">
        <v>136</v>
      </c>
      <c r="F113" s="2" t="s">
        <v>136</v>
      </c>
      <c r="H113" s="2" t="s">
        <v>30</v>
      </c>
      <c r="I113" s="2" t="s">
        <v>28</v>
      </c>
      <c r="J113" s="2" t="s">
        <v>419</v>
      </c>
      <c r="K113" s="2" t="s">
        <v>422</v>
      </c>
      <c r="L113" s="2" t="s">
        <v>31</v>
      </c>
      <c r="M113" t="s">
        <v>17</v>
      </c>
    </row>
    <row r="114" spans="1:13" ht="15.5" x14ac:dyDescent="0.35">
      <c r="A114" s="2">
        <v>13</v>
      </c>
      <c r="B114">
        <v>48</v>
      </c>
      <c r="C114" t="s">
        <v>26</v>
      </c>
      <c r="D114" s="2" t="s">
        <v>27</v>
      </c>
      <c r="E114" s="2" t="s">
        <v>118</v>
      </c>
      <c r="F114" s="2" t="s">
        <v>118</v>
      </c>
      <c r="H114" s="2" t="s">
        <v>30</v>
      </c>
      <c r="I114" s="2" t="s">
        <v>28</v>
      </c>
      <c r="J114" s="2" t="s">
        <v>420</v>
      </c>
      <c r="K114" s="2" t="s">
        <v>421</v>
      </c>
      <c r="L114" s="2" t="s">
        <v>31</v>
      </c>
      <c r="M114" t="s">
        <v>17</v>
      </c>
    </row>
    <row r="115" spans="1:13" ht="15.5" x14ac:dyDescent="0.35">
      <c r="A115" s="2">
        <v>13</v>
      </c>
      <c r="B115">
        <v>49</v>
      </c>
      <c r="C115" t="s">
        <v>26</v>
      </c>
      <c r="D115" s="2" t="s">
        <v>27</v>
      </c>
      <c r="E115" s="2" t="s">
        <v>119</v>
      </c>
      <c r="F115" s="2" t="s">
        <v>119</v>
      </c>
      <c r="H115" s="2" t="s">
        <v>30</v>
      </c>
      <c r="I115" s="2" t="s">
        <v>28</v>
      </c>
      <c r="J115" s="2" t="s">
        <v>420</v>
      </c>
      <c r="K115" s="2" t="s">
        <v>421</v>
      </c>
      <c r="L115" s="2" t="s">
        <v>31</v>
      </c>
      <c r="M115" t="s">
        <v>17</v>
      </c>
    </row>
    <row r="116" spans="1:13" ht="15.5" x14ac:dyDescent="0.35">
      <c r="A116" s="2">
        <v>13</v>
      </c>
      <c r="B116">
        <v>50</v>
      </c>
      <c r="C116" t="s">
        <v>26</v>
      </c>
      <c r="D116" s="2" t="s">
        <v>412</v>
      </c>
      <c r="E116" s="2" t="s">
        <v>137</v>
      </c>
      <c r="F116" s="2" t="s">
        <v>137</v>
      </c>
      <c r="H116" s="2" t="s">
        <v>30</v>
      </c>
      <c r="I116" s="2" t="s">
        <v>28</v>
      </c>
      <c r="J116" s="2" t="s">
        <v>419</v>
      </c>
      <c r="K116" s="2" t="s">
        <v>421</v>
      </c>
      <c r="L116" s="2" t="s">
        <v>31</v>
      </c>
      <c r="M116" t="s">
        <v>17</v>
      </c>
    </row>
    <row r="117" spans="1:13" ht="15.5" x14ac:dyDescent="0.35">
      <c r="A117" s="2">
        <v>13</v>
      </c>
      <c r="B117">
        <v>51</v>
      </c>
      <c r="C117" t="s">
        <v>26</v>
      </c>
      <c r="D117" s="2" t="s">
        <v>413</v>
      </c>
      <c r="E117" s="2" t="s">
        <v>138</v>
      </c>
      <c r="F117" s="2" t="s">
        <v>138</v>
      </c>
      <c r="H117" s="2" t="s">
        <v>30</v>
      </c>
      <c r="I117" s="2" t="s">
        <v>28</v>
      </c>
      <c r="J117" s="2" t="s">
        <v>419</v>
      </c>
      <c r="K117" s="2" t="s">
        <v>421</v>
      </c>
      <c r="L117" s="2" t="s">
        <v>31</v>
      </c>
      <c r="M117" t="s">
        <v>17</v>
      </c>
    </row>
    <row r="118" spans="1:13" ht="15.5" x14ac:dyDescent="0.35">
      <c r="A118" s="2">
        <v>10</v>
      </c>
      <c r="B118">
        <v>52</v>
      </c>
      <c r="C118" t="s">
        <v>26</v>
      </c>
      <c r="D118" s="2" t="s">
        <v>27</v>
      </c>
      <c r="E118" s="2" t="s">
        <v>139</v>
      </c>
      <c r="F118" s="2" t="s">
        <v>139</v>
      </c>
      <c r="H118" s="2" t="s">
        <v>30</v>
      </c>
      <c r="I118" s="2" t="s">
        <v>28</v>
      </c>
      <c r="J118" s="2" t="s">
        <v>416</v>
      </c>
      <c r="K118" s="10" t="s">
        <v>425</v>
      </c>
      <c r="L118" s="2" t="s">
        <v>31</v>
      </c>
      <c r="M118" t="s">
        <v>17</v>
      </c>
    </row>
    <row r="119" spans="1:13" ht="15.5" x14ac:dyDescent="0.35">
      <c r="A119" s="2">
        <v>10</v>
      </c>
      <c r="B119">
        <v>53</v>
      </c>
      <c r="C119" t="s">
        <v>26</v>
      </c>
      <c r="D119" s="2" t="s">
        <v>27</v>
      </c>
      <c r="E119" s="2" t="s">
        <v>117</v>
      </c>
      <c r="F119" s="2" t="s">
        <v>117</v>
      </c>
      <c r="H119" s="2" t="s">
        <v>30</v>
      </c>
      <c r="I119" s="2" t="s">
        <v>28</v>
      </c>
      <c r="J119" s="2" t="s">
        <v>34</v>
      </c>
      <c r="K119" s="2" t="s">
        <v>422</v>
      </c>
      <c r="L119" s="2" t="s">
        <v>31</v>
      </c>
      <c r="M119" t="s">
        <v>17</v>
      </c>
    </row>
    <row r="120" spans="1:13" ht="15.5" x14ac:dyDescent="0.35">
      <c r="A120" s="2">
        <v>10</v>
      </c>
      <c r="B120">
        <v>54</v>
      </c>
      <c r="C120" t="s">
        <v>26</v>
      </c>
      <c r="D120" s="2" t="s">
        <v>339</v>
      </c>
      <c r="E120" s="2" t="s">
        <v>140</v>
      </c>
      <c r="F120" s="2" t="s">
        <v>140</v>
      </c>
      <c r="H120" s="2" t="s">
        <v>30</v>
      </c>
      <c r="I120" s="2" t="s">
        <v>28</v>
      </c>
      <c r="J120" s="2" t="s">
        <v>34</v>
      </c>
      <c r="K120" s="2" t="s">
        <v>29</v>
      </c>
      <c r="L120" s="2" t="s">
        <v>31</v>
      </c>
      <c r="M120" t="s">
        <v>17</v>
      </c>
    </row>
    <row r="121" spans="1:13" ht="15.5" x14ac:dyDescent="0.35">
      <c r="A121" s="2">
        <v>10</v>
      </c>
      <c r="B121">
        <v>55</v>
      </c>
      <c r="C121" t="s">
        <v>26</v>
      </c>
      <c r="D121" s="2" t="s">
        <v>27</v>
      </c>
      <c r="E121" s="2" t="s">
        <v>141</v>
      </c>
      <c r="F121" s="2" t="s">
        <v>141</v>
      </c>
      <c r="H121" s="2" t="s">
        <v>30</v>
      </c>
      <c r="I121" s="2" t="s">
        <v>28</v>
      </c>
      <c r="J121" s="10" t="s">
        <v>423</v>
      </c>
      <c r="K121" s="2" t="s">
        <v>427</v>
      </c>
      <c r="L121" s="2" t="s">
        <v>31</v>
      </c>
      <c r="M121" t="s">
        <v>17</v>
      </c>
    </row>
    <row r="122" spans="1:13" ht="15.5" x14ac:dyDescent="0.35">
      <c r="A122" s="2">
        <v>10</v>
      </c>
      <c r="B122">
        <v>56</v>
      </c>
      <c r="C122" t="s">
        <v>26</v>
      </c>
      <c r="D122" s="2" t="s">
        <v>27</v>
      </c>
      <c r="E122" s="2" t="s">
        <v>142</v>
      </c>
      <c r="F122" s="2" t="s">
        <v>142</v>
      </c>
      <c r="H122" s="2" t="s">
        <v>30</v>
      </c>
      <c r="I122" s="2" t="s">
        <v>28</v>
      </c>
      <c r="J122" s="11" t="s">
        <v>416</v>
      </c>
      <c r="K122" s="2" t="s">
        <v>427</v>
      </c>
      <c r="L122" s="2" t="s">
        <v>31</v>
      </c>
      <c r="M122" t="s">
        <v>17</v>
      </c>
    </row>
    <row r="123" spans="1:13" ht="15.5" x14ac:dyDescent="0.35">
      <c r="A123" s="2">
        <v>10</v>
      </c>
      <c r="B123">
        <v>57</v>
      </c>
      <c r="C123" t="s">
        <v>26</v>
      </c>
      <c r="D123" s="2" t="s">
        <v>27</v>
      </c>
      <c r="E123" s="2" t="s">
        <v>117</v>
      </c>
      <c r="F123" s="2" t="s">
        <v>117</v>
      </c>
      <c r="H123" s="2" t="s">
        <v>30</v>
      </c>
      <c r="I123" s="2" t="s">
        <v>28</v>
      </c>
      <c r="J123" s="2" t="s">
        <v>34</v>
      </c>
      <c r="K123" s="2" t="s">
        <v>422</v>
      </c>
      <c r="L123" s="2" t="s">
        <v>31</v>
      </c>
      <c r="M123" t="s">
        <v>17</v>
      </c>
    </row>
    <row r="124" spans="1:13" ht="15.5" x14ac:dyDescent="0.35">
      <c r="A124" s="2">
        <v>10</v>
      </c>
      <c r="B124">
        <v>58</v>
      </c>
      <c r="C124" t="s">
        <v>26</v>
      </c>
      <c r="D124" s="2" t="s">
        <v>392</v>
      </c>
      <c r="E124" s="2" t="s">
        <v>143</v>
      </c>
      <c r="F124" s="2" t="s">
        <v>143</v>
      </c>
      <c r="H124" s="2" t="s">
        <v>30</v>
      </c>
      <c r="I124" s="2" t="s">
        <v>28</v>
      </c>
      <c r="J124" s="2" t="s">
        <v>34</v>
      </c>
      <c r="K124" s="2" t="s">
        <v>29</v>
      </c>
      <c r="L124" s="2" t="s">
        <v>31</v>
      </c>
      <c r="M124" t="s">
        <v>17</v>
      </c>
    </row>
    <row r="125" spans="1:13" ht="15.5" x14ac:dyDescent="0.35">
      <c r="A125" s="2">
        <v>10</v>
      </c>
      <c r="B125">
        <v>59</v>
      </c>
      <c r="C125" t="s">
        <v>26</v>
      </c>
      <c r="D125" s="2" t="s">
        <v>27</v>
      </c>
      <c r="E125" s="2" t="s">
        <v>144</v>
      </c>
      <c r="F125" s="2" t="s">
        <v>144</v>
      </c>
      <c r="H125" s="2" t="s">
        <v>30</v>
      </c>
      <c r="I125" s="2" t="s">
        <v>28</v>
      </c>
      <c r="J125" s="2" t="s">
        <v>34</v>
      </c>
      <c r="K125" s="2" t="s">
        <v>29</v>
      </c>
      <c r="L125" s="2" t="s">
        <v>31</v>
      </c>
      <c r="M125" t="s">
        <v>17</v>
      </c>
    </row>
    <row r="126" spans="1:13" ht="15.5" x14ac:dyDescent="0.35">
      <c r="A126" s="2">
        <v>10</v>
      </c>
      <c r="B126">
        <v>60</v>
      </c>
      <c r="C126" t="s">
        <v>26</v>
      </c>
      <c r="D126" s="2" t="s">
        <v>27</v>
      </c>
      <c r="E126" s="2" t="s">
        <v>145</v>
      </c>
      <c r="F126" s="2" t="s">
        <v>145</v>
      </c>
      <c r="H126" s="2" t="s">
        <v>30</v>
      </c>
      <c r="I126" s="2" t="s">
        <v>28</v>
      </c>
      <c r="J126" s="2" t="s">
        <v>34</v>
      </c>
      <c r="K126" s="2" t="s">
        <v>29</v>
      </c>
      <c r="L126" s="2" t="s">
        <v>31</v>
      </c>
      <c r="M126" t="s">
        <v>17</v>
      </c>
    </row>
    <row r="127" spans="1:13" ht="15.5" x14ac:dyDescent="0.35">
      <c r="A127" s="2">
        <v>9</v>
      </c>
      <c r="B127">
        <v>61</v>
      </c>
      <c r="C127" t="s">
        <v>26</v>
      </c>
      <c r="D127" s="2" t="s">
        <v>27</v>
      </c>
      <c r="E127" s="2" t="s">
        <v>146</v>
      </c>
      <c r="F127" s="2" t="s">
        <v>146</v>
      </c>
      <c r="H127" s="2" t="s">
        <v>30</v>
      </c>
      <c r="I127" s="2" t="s">
        <v>28</v>
      </c>
      <c r="J127" s="2" t="s">
        <v>34</v>
      </c>
      <c r="K127" s="2" t="s">
        <v>295</v>
      </c>
      <c r="L127" s="2" t="s">
        <v>31</v>
      </c>
      <c r="M127" t="s">
        <v>17</v>
      </c>
    </row>
    <row r="128" spans="1:13" ht="15.5" x14ac:dyDescent="0.35">
      <c r="A128" s="2">
        <v>9</v>
      </c>
      <c r="B128">
        <v>62</v>
      </c>
      <c r="C128" t="s">
        <v>26</v>
      </c>
      <c r="D128" s="2" t="s">
        <v>27</v>
      </c>
      <c r="E128" s="2" t="s">
        <v>147</v>
      </c>
      <c r="F128" s="2" t="s">
        <v>147</v>
      </c>
      <c r="H128" s="2" t="s">
        <v>30</v>
      </c>
      <c r="I128" s="2" t="s">
        <v>28</v>
      </c>
      <c r="J128" s="11" t="s">
        <v>428</v>
      </c>
      <c r="K128" s="11" t="s">
        <v>430</v>
      </c>
      <c r="L128" s="2" t="s">
        <v>31</v>
      </c>
      <c r="M128" t="s">
        <v>17</v>
      </c>
    </row>
    <row r="129" spans="1:13" ht="15.5" x14ac:dyDescent="0.35">
      <c r="A129" s="2">
        <v>8</v>
      </c>
      <c r="B129">
        <v>63</v>
      </c>
      <c r="C129" t="s">
        <v>26</v>
      </c>
      <c r="D129" s="2" t="s">
        <v>27</v>
      </c>
      <c r="E129" s="2" t="s">
        <v>148</v>
      </c>
      <c r="F129" s="2" t="s">
        <v>148</v>
      </c>
      <c r="H129" s="2" t="s">
        <v>30</v>
      </c>
      <c r="I129" s="2" t="s">
        <v>28</v>
      </c>
      <c r="J129" s="2" t="s">
        <v>419</v>
      </c>
      <c r="K129" s="2" t="s">
        <v>29</v>
      </c>
      <c r="L129" s="2" t="s">
        <v>31</v>
      </c>
      <c r="M129" t="s">
        <v>17</v>
      </c>
    </row>
    <row r="130" spans="1:13" ht="15.5" x14ac:dyDescent="0.35">
      <c r="A130" s="2">
        <v>7</v>
      </c>
      <c r="B130">
        <v>64</v>
      </c>
      <c r="C130" t="s">
        <v>26</v>
      </c>
      <c r="D130" s="2" t="s">
        <v>27</v>
      </c>
      <c r="E130" s="2" t="s">
        <v>149</v>
      </c>
      <c r="F130" s="2" t="s">
        <v>149</v>
      </c>
      <c r="H130" s="2" t="s">
        <v>30</v>
      </c>
      <c r="I130" s="2" t="s">
        <v>28</v>
      </c>
      <c r="J130" s="2" t="s">
        <v>34</v>
      </c>
      <c r="K130" s="2" t="s">
        <v>29</v>
      </c>
      <c r="L130" s="2" t="s">
        <v>31</v>
      </c>
      <c r="M130" t="s">
        <v>17</v>
      </c>
    </row>
    <row r="131" spans="1:13" ht="15.5" x14ac:dyDescent="0.35">
      <c r="A131" s="2">
        <v>6</v>
      </c>
      <c r="B131">
        <v>65</v>
      </c>
      <c r="C131" t="s">
        <v>26</v>
      </c>
      <c r="D131" s="2" t="s">
        <v>27</v>
      </c>
      <c r="E131" s="2" t="s">
        <v>118</v>
      </c>
      <c r="F131" s="2" t="s">
        <v>118</v>
      </c>
      <c r="H131" s="2" t="s">
        <v>30</v>
      </c>
      <c r="I131" s="2" t="s">
        <v>28</v>
      </c>
      <c r="J131" s="2" t="s">
        <v>420</v>
      </c>
      <c r="K131" s="2" t="s">
        <v>421</v>
      </c>
      <c r="L131" s="2" t="s">
        <v>31</v>
      </c>
      <c r="M131" t="s">
        <v>17</v>
      </c>
    </row>
    <row r="132" spans="1:13" ht="15.5" x14ac:dyDescent="0.35">
      <c r="A132" s="2">
        <v>6</v>
      </c>
      <c r="B132">
        <v>66</v>
      </c>
      <c r="C132" t="s">
        <v>26</v>
      </c>
      <c r="D132" s="2" t="s">
        <v>27</v>
      </c>
      <c r="E132" s="2" t="s">
        <v>119</v>
      </c>
      <c r="F132" s="2" t="s">
        <v>119</v>
      </c>
      <c r="H132" s="2" t="s">
        <v>30</v>
      </c>
      <c r="I132" s="2" t="s">
        <v>28</v>
      </c>
      <c r="J132" s="2" t="s">
        <v>420</v>
      </c>
      <c r="K132" s="2" t="s">
        <v>421</v>
      </c>
      <c r="L132" s="2" t="s">
        <v>31</v>
      </c>
      <c r="M132" t="s">
        <v>17</v>
      </c>
    </row>
    <row r="133" spans="1:13" ht="15.5" x14ac:dyDescent="0.35">
      <c r="A133" s="2">
        <v>6</v>
      </c>
      <c r="B133">
        <v>67</v>
      </c>
      <c r="C133" t="s">
        <v>26</v>
      </c>
      <c r="D133" s="2" t="s">
        <v>414</v>
      </c>
      <c r="E133" s="2" t="s">
        <v>150</v>
      </c>
      <c r="F133" s="2" t="s">
        <v>150</v>
      </c>
      <c r="H133" s="2" t="s">
        <v>30</v>
      </c>
      <c r="I133" s="2" t="s">
        <v>28</v>
      </c>
      <c r="J133" s="2" t="s">
        <v>34</v>
      </c>
      <c r="K133" s="2" t="s">
        <v>432</v>
      </c>
      <c r="L133" s="2" t="s">
        <v>31</v>
      </c>
      <c r="M133" t="s">
        <v>17</v>
      </c>
    </row>
    <row r="134" spans="1:13" ht="15.5" x14ac:dyDescent="0.35">
      <c r="A134" s="2">
        <v>6</v>
      </c>
      <c r="B134">
        <v>68</v>
      </c>
      <c r="C134" t="s">
        <v>26</v>
      </c>
      <c r="D134" s="2" t="s">
        <v>27</v>
      </c>
      <c r="E134" s="2" t="s">
        <v>151</v>
      </c>
      <c r="F134" s="2" t="s">
        <v>151</v>
      </c>
      <c r="H134" s="2" t="s">
        <v>30</v>
      </c>
      <c r="I134" s="2" t="s">
        <v>28</v>
      </c>
      <c r="J134" s="2" t="s">
        <v>34</v>
      </c>
      <c r="K134" s="2" t="s">
        <v>432</v>
      </c>
      <c r="L134" s="2" t="s">
        <v>31</v>
      </c>
      <c r="M134" t="s">
        <v>17</v>
      </c>
    </row>
    <row r="135" spans="1:13" ht="29" x14ac:dyDescent="0.35">
      <c r="A135" s="6">
        <v>45688</v>
      </c>
      <c r="B135">
        <v>69</v>
      </c>
      <c r="C135" t="s">
        <v>26</v>
      </c>
      <c r="D135" s="2" t="s">
        <v>339</v>
      </c>
      <c r="E135" s="7" t="s">
        <v>157</v>
      </c>
      <c r="F135" s="7" t="s">
        <v>157</v>
      </c>
      <c r="J135" s="2" t="s">
        <v>428</v>
      </c>
      <c r="K135" s="2" t="s">
        <v>430</v>
      </c>
      <c r="L135" s="2" t="s">
        <v>31</v>
      </c>
    </row>
    <row r="136" spans="1:13" ht="15.5" x14ac:dyDescent="0.35">
      <c r="A136" s="6">
        <v>45688</v>
      </c>
      <c r="B136">
        <v>70</v>
      </c>
      <c r="C136" t="s">
        <v>26</v>
      </c>
      <c r="D136" s="2" t="s">
        <v>339</v>
      </c>
      <c r="E136" s="7" t="s">
        <v>161</v>
      </c>
      <c r="F136" s="7" t="s">
        <v>161</v>
      </c>
      <c r="J136" s="2" t="s">
        <v>428</v>
      </c>
      <c r="K136" s="2" t="s">
        <v>430</v>
      </c>
      <c r="L136" s="2" t="s">
        <v>31</v>
      </c>
    </row>
    <row r="137" spans="1:13" ht="15.5" x14ac:dyDescent="0.35">
      <c r="A137" s="6">
        <v>45687</v>
      </c>
      <c r="B137">
        <v>71</v>
      </c>
      <c r="C137" t="s">
        <v>26</v>
      </c>
      <c r="D137" s="2" t="s">
        <v>339</v>
      </c>
      <c r="E137" s="7" t="s">
        <v>164</v>
      </c>
      <c r="F137" s="7" t="s">
        <v>164</v>
      </c>
      <c r="J137" s="2" t="s">
        <v>428</v>
      </c>
      <c r="K137" s="2" t="s">
        <v>430</v>
      </c>
      <c r="L137" s="2" t="s">
        <v>31</v>
      </c>
    </row>
    <row r="138" spans="1:13" ht="15.5" x14ac:dyDescent="0.35">
      <c r="A138" s="6">
        <v>45687</v>
      </c>
      <c r="B138">
        <v>72</v>
      </c>
      <c r="C138" t="s">
        <v>26</v>
      </c>
      <c r="D138" s="2" t="s">
        <v>339</v>
      </c>
      <c r="E138" s="7" t="s">
        <v>168</v>
      </c>
      <c r="F138" s="7" t="s">
        <v>168</v>
      </c>
      <c r="J138" s="2" t="s">
        <v>428</v>
      </c>
      <c r="K138" s="2" t="s">
        <v>430</v>
      </c>
      <c r="L138" s="2" t="s">
        <v>31</v>
      </c>
    </row>
    <row r="139" spans="1:13" ht="15.5" x14ac:dyDescent="0.35">
      <c r="A139" s="6">
        <v>45687</v>
      </c>
      <c r="B139">
        <v>73</v>
      </c>
      <c r="C139" t="s">
        <v>26</v>
      </c>
      <c r="D139" s="2" t="s">
        <v>339</v>
      </c>
      <c r="E139" s="7" t="s">
        <v>170</v>
      </c>
      <c r="F139" s="7" t="s">
        <v>170</v>
      </c>
      <c r="J139" s="2" t="s">
        <v>428</v>
      </c>
      <c r="K139" s="2" t="s">
        <v>430</v>
      </c>
      <c r="L139" s="2" t="s">
        <v>31</v>
      </c>
    </row>
    <row r="140" spans="1:13" ht="15.5" x14ac:dyDescent="0.35">
      <c r="A140" s="6">
        <v>45687</v>
      </c>
      <c r="B140">
        <v>74</v>
      </c>
      <c r="C140" t="s">
        <v>26</v>
      </c>
      <c r="D140" s="2" t="s">
        <v>339</v>
      </c>
      <c r="E140" s="7" t="s">
        <v>173</v>
      </c>
      <c r="F140" s="7" t="s">
        <v>173</v>
      </c>
      <c r="J140" s="2" t="s">
        <v>428</v>
      </c>
      <c r="K140" s="2" t="s">
        <v>430</v>
      </c>
      <c r="L140" s="2" t="s">
        <v>31</v>
      </c>
    </row>
    <row r="141" spans="1:13" ht="15.5" x14ac:dyDescent="0.35">
      <c r="A141" s="6">
        <v>45686</v>
      </c>
      <c r="B141">
        <v>75</v>
      </c>
      <c r="C141" t="s">
        <v>26</v>
      </c>
      <c r="D141" s="2" t="s">
        <v>339</v>
      </c>
      <c r="E141" s="7" t="s">
        <v>176</v>
      </c>
      <c r="F141" s="7" t="s">
        <v>176</v>
      </c>
      <c r="J141" s="2" t="s">
        <v>428</v>
      </c>
      <c r="K141" s="2" t="s">
        <v>430</v>
      </c>
      <c r="L141" s="2" t="s">
        <v>31</v>
      </c>
    </row>
    <row r="142" spans="1:13" ht="15.5" x14ac:dyDescent="0.35">
      <c r="A142" s="6">
        <v>45686</v>
      </c>
      <c r="B142">
        <v>76</v>
      </c>
      <c r="C142" t="s">
        <v>26</v>
      </c>
      <c r="D142" s="2" t="s">
        <v>339</v>
      </c>
      <c r="E142" s="7" t="s">
        <v>178</v>
      </c>
      <c r="F142" s="7" t="s">
        <v>178</v>
      </c>
      <c r="J142" s="2" t="s">
        <v>428</v>
      </c>
      <c r="K142" s="2" t="s">
        <v>430</v>
      </c>
      <c r="L142" s="2" t="s">
        <v>31</v>
      </c>
    </row>
    <row r="143" spans="1:13" ht="29" x14ac:dyDescent="0.35">
      <c r="A143" s="6">
        <v>45686</v>
      </c>
      <c r="B143">
        <v>77</v>
      </c>
      <c r="C143" t="s">
        <v>26</v>
      </c>
      <c r="D143" s="2" t="s">
        <v>339</v>
      </c>
      <c r="E143" s="7" t="s">
        <v>181</v>
      </c>
      <c r="F143" s="7" t="s">
        <v>181</v>
      </c>
      <c r="J143" s="2" t="s">
        <v>428</v>
      </c>
      <c r="K143" s="2" t="s">
        <v>430</v>
      </c>
      <c r="L143" s="2" t="s">
        <v>31</v>
      </c>
    </row>
    <row r="144" spans="1:13" ht="15.5" x14ac:dyDescent="0.35">
      <c r="A144" s="6">
        <v>45685</v>
      </c>
      <c r="B144">
        <v>78</v>
      </c>
      <c r="C144" t="s">
        <v>26</v>
      </c>
      <c r="D144" s="2" t="s">
        <v>339</v>
      </c>
      <c r="E144" s="7" t="s">
        <v>183</v>
      </c>
      <c r="F144" s="7" t="s">
        <v>183</v>
      </c>
      <c r="J144" s="2" t="s">
        <v>428</v>
      </c>
      <c r="K144" s="2" t="s">
        <v>430</v>
      </c>
      <c r="L144" s="2" t="s">
        <v>31</v>
      </c>
    </row>
    <row r="145" spans="1:12" ht="15.5" x14ac:dyDescent="0.35">
      <c r="A145" s="6">
        <v>45685</v>
      </c>
      <c r="B145">
        <v>79</v>
      </c>
      <c r="C145" t="s">
        <v>26</v>
      </c>
      <c r="D145" s="2" t="s">
        <v>339</v>
      </c>
      <c r="E145" s="7" t="s">
        <v>187</v>
      </c>
      <c r="F145" s="7" t="s">
        <v>187</v>
      </c>
      <c r="J145" s="2" t="s">
        <v>428</v>
      </c>
      <c r="K145" s="2" t="s">
        <v>430</v>
      </c>
      <c r="L145" s="2" t="s">
        <v>31</v>
      </c>
    </row>
    <row r="146" spans="1:12" ht="15.5" x14ac:dyDescent="0.35">
      <c r="A146" s="6">
        <v>45684</v>
      </c>
      <c r="B146">
        <v>80</v>
      </c>
      <c r="C146" t="s">
        <v>26</v>
      </c>
      <c r="D146" s="2" t="s">
        <v>339</v>
      </c>
      <c r="E146" s="7" t="s">
        <v>191</v>
      </c>
      <c r="F146" s="7" t="s">
        <v>191</v>
      </c>
      <c r="J146" s="2" t="s">
        <v>428</v>
      </c>
      <c r="K146" s="2" t="s">
        <v>430</v>
      </c>
      <c r="L146" s="2" t="s">
        <v>31</v>
      </c>
    </row>
    <row r="147" spans="1:12" ht="15.5" x14ac:dyDescent="0.35">
      <c r="A147" s="6">
        <v>45684</v>
      </c>
      <c r="B147">
        <v>81</v>
      </c>
      <c r="C147" t="s">
        <v>26</v>
      </c>
      <c r="D147" s="2" t="s">
        <v>339</v>
      </c>
      <c r="E147" s="7" t="s">
        <v>194</v>
      </c>
      <c r="F147" s="7" t="s">
        <v>194</v>
      </c>
      <c r="J147" s="2" t="s">
        <v>428</v>
      </c>
      <c r="K147" s="2" t="s">
        <v>430</v>
      </c>
      <c r="L147" s="2" t="s">
        <v>31</v>
      </c>
    </row>
    <row r="148" spans="1:12" ht="15.5" x14ac:dyDescent="0.35">
      <c r="A148" s="6">
        <v>45681</v>
      </c>
      <c r="B148">
        <v>82</v>
      </c>
      <c r="C148" t="s">
        <v>26</v>
      </c>
      <c r="D148" s="2" t="s">
        <v>339</v>
      </c>
      <c r="E148" s="7" t="s">
        <v>196</v>
      </c>
      <c r="F148" s="7" t="s">
        <v>196</v>
      </c>
      <c r="J148" s="2" t="s">
        <v>428</v>
      </c>
      <c r="K148" s="2" t="s">
        <v>430</v>
      </c>
      <c r="L148" s="2" t="s">
        <v>31</v>
      </c>
    </row>
    <row r="149" spans="1:12" ht="15.5" x14ac:dyDescent="0.35">
      <c r="A149" s="6">
        <v>45681</v>
      </c>
      <c r="B149">
        <v>83</v>
      </c>
      <c r="C149" t="s">
        <v>26</v>
      </c>
      <c r="D149" s="2" t="s">
        <v>339</v>
      </c>
      <c r="E149" s="7" t="s">
        <v>199</v>
      </c>
      <c r="F149" s="7" t="s">
        <v>199</v>
      </c>
      <c r="J149" s="2" t="s">
        <v>428</v>
      </c>
      <c r="K149" s="2" t="s">
        <v>430</v>
      </c>
      <c r="L149" s="2" t="s">
        <v>31</v>
      </c>
    </row>
    <row r="150" spans="1:12" ht="29" x14ac:dyDescent="0.35">
      <c r="A150" s="6">
        <v>45681</v>
      </c>
      <c r="B150">
        <v>84</v>
      </c>
      <c r="C150" t="s">
        <v>26</v>
      </c>
      <c r="D150" s="2" t="s">
        <v>339</v>
      </c>
      <c r="E150" s="7" t="s">
        <v>202</v>
      </c>
      <c r="F150" s="7" t="s">
        <v>202</v>
      </c>
      <c r="J150" s="2" t="s">
        <v>428</v>
      </c>
      <c r="K150" s="2" t="s">
        <v>430</v>
      </c>
      <c r="L150" s="2" t="s">
        <v>31</v>
      </c>
    </row>
    <row r="151" spans="1:12" ht="15.5" x14ac:dyDescent="0.35">
      <c r="A151" s="6">
        <v>45681</v>
      </c>
      <c r="B151">
        <v>85</v>
      </c>
      <c r="C151" t="s">
        <v>26</v>
      </c>
      <c r="D151" s="2" t="s">
        <v>339</v>
      </c>
      <c r="E151" s="7" t="s">
        <v>205</v>
      </c>
      <c r="F151" s="7" t="s">
        <v>205</v>
      </c>
      <c r="J151" s="2" t="s">
        <v>428</v>
      </c>
      <c r="K151" s="2" t="s">
        <v>430</v>
      </c>
      <c r="L151" s="2" t="s">
        <v>31</v>
      </c>
    </row>
    <row r="152" spans="1:12" ht="15.5" x14ac:dyDescent="0.35">
      <c r="A152" s="6">
        <v>45681</v>
      </c>
      <c r="B152">
        <v>86</v>
      </c>
      <c r="C152" t="s">
        <v>26</v>
      </c>
      <c r="D152" s="2" t="s">
        <v>339</v>
      </c>
      <c r="E152" s="7" t="s">
        <v>208</v>
      </c>
      <c r="F152" s="7" t="s">
        <v>208</v>
      </c>
      <c r="J152" s="2" t="s">
        <v>428</v>
      </c>
      <c r="K152" s="2" t="s">
        <v>430</v>
      </c>
      <c r="L152" s="2" t="s">
        <v>31</v>
      </c>
    </row>
    <row r="153" spans="1:12" ht="15.5" x14ac:dyDescent="0.35">
      <c r="A153" s="6">
        <v>45680</v>
      </c>
      <c r="B153">
        <v>87</v>
      </c>
      <c r="C153" t="s">
        <v>26</v>
      </c>
      <c r="D153" s="2" t="s">
        <v>339</v>
      </c>
      <c r="E153" s="7" t="s">
        <v>161</v>
      </c>
      <c r="F153" s="7" t="s">
        <v>161</v>
      </c>
      <c r="J153" s="2" t="s">
        <v>428</v>
      </c>
      <c r="K153" s="2" t="s">
        <v>430</v>
      </c>
      <c r="L153" s="2" t="s">
        <v>31</v>
      </c>
    </row>
    <row r="154" spans="1:12" ht="15.5" x14ac:dyDescent="0.35">
      <c r="A154" s="6">
        <v>45680</v>
      </c>
      <c r="B154">
        <v>88</v>
      </c>
      <c r="C154" t="s">
        <v>26</v>
      </c>
      <c r="D154" s="2" t="s">
        <v>339</v>
      </c>
      <c r="E154" s="7" t="s">
        <v>211</v>
      </c>
      <c r="F154" s="7" t="s">
        <v>211</v>
      </c>
      <c r="J154" s="2" t="s">
        <v>428</v>
      </c>
      <c r="K154" s="2" t="s">
        <v>430</v>
      </c>
      <c r="L154" s="2" t="s">
        <v>31</v>
      </c>
    </row>
    <row r="155" spans="1:12" ht="15.5" x14ac:dyDescent="0.35">
      <c r="A155" s="6">
        <v>45680</v>
      </c>
      <c r="B155">
        <v>89</v>
      </c>
      <c r="C155" t="s">
        <v>26</v>
      </c>
      <c r="D155" s="2" t="s">
        <v>339</v>
      </c>
      <c r="E155" s="7" t="s">
        <v>213</v>
      </c>
      <c r="F155" s="7" t="s">
        <v>213</v>
      </c>
      <c r="J155" s="2" t="s">
        <v>428</v>
      </c>
      <c r="K155" s="2" t="s">
        <v>430</v>
      </c>
      <c r="L155" s="2" t="s">
        <v>31</v>
      </c>
    </row>
    <row r="156" spans="1:12" ht="15.5" x14ac:dyDescent="0.35">
      <c r="A156" s="6">
        <v>45679</v>
      </c>
      <c r="B156">
        <v>90</v>
      </c>
      <c r="C156" t="s">
        <v>26</v>
      </c>
      <c r="D156" s="2" t="s">
        <v>339</v>
      </c>
      <c r="E156" s="7" t="s">
        <v>215</v>
      </c>
      <c r="F156" s="7" t="s">
        <v>215</v>
      </c>
      <c r="J156" s="2" t="s">
        <v>428</v>
      </c>
      <c r="K156" s="2" t="s">
        <v>430</v>
      </c>
      <c r="L156" s="2" t="s">
        <v>31</v>
      </c>
    </row>
    <row r="157" spans="1:12" ht="15.5" x14ac:dyDescent="0.35">
      <c r="A157" s="6">
        <v>45679</v>
      </c>
      <c r="B157">
        <v>91</v>
      </c>
      <c r="C157" t="s">
        <v>26</v>
      </c>
      <c r="D157" s="2" t="s">
        <v>339</v>
      </c>
      <c r="E157" s="7" t="s">
        <v>217</v>
      </c>
      <c r="F157" s="7" t="s">
        <v>217</v>
      </c>
      <c r="J157" s="2" t="s">
        <v>428</v>
      </c>
      <c r="K157" s="2" t="s">
        <v>430</v>
      </c>
      <c r="L157" s="2" t="s">
        <v>31</v>
      </c>
    </row>
    <row r="158" spans="1:12" ht="15.5" x14ac:dyDescent="0.35">
      <c r="A158" s="6">
        <v>45679</v>
      </c>
      <c r="B158">
        <v>92</v>
      </c>
      <c r="C158" t="s">
        <v>26</v>
      </c>
      <c r="D158" s="2" t="s">
        <v>339</v>
      </c>
      <c r="E158" s="7" t="s">
        <v>220</v>
      </c>
      <c r="F158" s="7" t="s">
        <v>220</v>
      </c>
      <c r="J158" s="2" t="s">
        <v>428</v>
      </c>
      <c r="K158" s="2" t="s">
        <v>430</v>
      </c>
      <c r="L158" s="2" t="s">
        <v>31</v>
      </c>
    </row>
    <row r="159" spans="1:12" ht="15.5" x14ac:dyDescent="0.35">
      <c r="A159" s="6">
        <v>45678</v>
      </c>
      <c r="B159">
        <v>93</v>
      </c>
      <c r="C159" t="s">
        <v>26</v>
      </c>
      <c r="D159" s="2" t="s">
        <v>339</v>
      </c>
      <c r="E159" s="7" t="s">
        <v>222</v>
      </c>
      <c r="F159" s="7" t="s">
        <v>222</v>
      </c>
      <c r="J159" s="2" t="s">
        <v>428</v>
      </c>
      <c r="K159" s="2" t="s">
        <v>430</v>
      </c>
      <c r="L159" s="2" t="s">
        <v>31</v>
      </c>
    </row>
    <row r="160" spans="1:12" ht="15.5" x14ac:dyDescent="0.35">
      <c r="A160" s="6">
        <v>45678</v>
      </c>
      <c r="B160">
        <v>94</v>
      </c>
      <c r="C160" t="s">
        <v>26</v>
      </c>
      <c r="D160" s="2" t="s">
        <v>339</v>
      </c>
      <c r="E160" s="7" t="s">
        <v>224</v>
      </c>
      <c r="F160" s="7" t="s">
        <v>224</v>
      </c>
      <c r="J160" s="2" t="s">
        <v>428</v>
      </c>
      <c r="K160" s="2" t="s">
        <v>430</v>
      </c>
      <c r="L160" s="2" t="s">
        <v>31</v>
      </c>
    </row>
    <row r="161" spans="1:12" ht="15.5" x14ac:dyDescent="0.35">
      <c r="A161" s="6">
        <v>45674</v>
      </c>
      <c r="B161">
        <v>95</v>
      </c>
      <c r="C161" t="s">
        <v>26</v>
      </c>
      <c r="D161" s="2" t="s">
        <v>339</v>
      </c>
      <c r="E161" s="7" t="s">
        <v>227</v>
      </c>
      <c r="F161" s="7" t="s">
        <v>227</v>
      </c>
      <c r="J161" s="2" t="s">
        <v>428</v>
      </c>
      <c r="K161" s="2" t="s">
        <v>430</v>
      </c>
      <c r="L161" s="2" t="s">
        <v>31</v>
      </c>
    </row>
    <row r="162" spans="1:12" ht="15.5" x14ac:dyDescent="0.35">
      <c r="A162" s="6">
        <v>45674</v>
      </c>
      <c r="B162">
        <v>96</v>
      </c>
      <c r="C162" t="s">
        <v>26</v>
      </c>
      <c r="D162" s="2" t="s">
        <v>339</v>
      </c>
      <c r="E162" s="7" t="s">
        <v>229</v>
      </c>
      <c r="F162" s="7" t="s">
        <v>229</v>
      </c>
      <c r="J162" s="2" t="s">
        <v>428</v>
      </c>
      <c r="K162" s="2" t="s">
        <v>430</v>
      </c>
      <c r="L162" s="2" t="s">
        <v>31</v>
      </c>
    </row>
    <row r="163" spans="1:12" ht="15.5" x14ac:dyDescent="0.35">
      <c r="A163" s="6">
        <v>45673</v>
      </c>
      <c r="B163">
        <v>97</v>
      </c>
      <c r="C163" t="s">
        <v>26</v>
      </c>
      <c r="D163" s="2" t="s">
        <v>339</v>
      </c>
      <c r="E163" s="7" t="s">
        <v>231</v>
      </c>
      <c r="F163" s="7" t="s">
        <v>231</v>
      </c>
      <c r="J163" s="2" t="s">
        <v>428</v>
      </c>
      <c r="K163" s="2" t="s">
        <v>430</v>
      </c>
      <c r="L163" s="2" t="s">
        <v>31</v>
      </c>
    </row>
    <row r="164" spans="1:12" ht="15.5" x14ac:dyDescent="0.35">
      <c r="A164" s="6">
        <v>45673</v>
      </c>
      <c r="B164">
        <v>98</v>
      </c>
      <c r="C164" t="s">
        <v>26</v>
      </c>
      <c r="D164" s="2" t="s">
        <v>339</v>
      </c>
      <c r="E164" s="7" t="s">
        <v>161</v>
      </c>
      <c r="F164" s="7" t="s">
        <v>161</v>
      </c>
      <c r="J164" s="2" t="s">
        <v>428</v>
      </c>
      <c r="K164" s="2" t="s">
        <v>430</v>
      </c>
      <c r="L164" s="2" t="s">
        <v>31</v>
      </c>
    </row>
    <row r="165" spans="1:12" ht="15.5" x14ac:dyDescent="0.35">
      <c r="A165" s="6">
        <v>45673</v>
      </c>
      <c r="B165">
        <v>99</v>
      </c>
      <c r="C165" t="s">
        <v>26</v>
      </c>
      <c r="D165" s="2" t="s">
        <v>339</v>
      </c>
      <c r="E165" s="7" t="s">
        <v>234</v>
      </c>
      <c r="F165" s="7" t="s">
        <v>234</v>
      </c>
      <c r="J165" s="2" t="s">
        <v>428</v>
      </c>
      <c r="K165" s="2" t="s">
        <v>430</v>
      </c>
      <c r="L165" s="2" t="s">
        <v>31</v>
      </c>
    </row>
    <row r="166" spans="1:12" ht="15.5" x14ac:dyDescent="0.35">
      <c r="A166" s="6">
        <v>45673</v>
      </c>
      <c r="B166">
        <v>100</v>
      </c>
      <c r="C166" t="s">
        <v>26</v>
      </c>
      <c r="D166" s="2" t="s">
        <v>339</v>
      </c>
      <c r="E166" s="7" t="s">
        <v>237</v>
      </c>
      <c r="F166" s="7" t="s">
        <v>237</v>
      </c>
      <c r="J166" s="2" t="s">
        <v>428</v>
      </c>
      <c r="K166" s="2" t="s">
        <v>430</v>
      </c>
      <c r="L166" s="2" t="s">
        <v>31</v>
      </c>
    </row>
    <row r="167" spans="1:12" ht="15.5" x14ac:dyDescent="0.35">
      <c r="A167" s="6">
        <v>45672</v>
      </c>
      <c r="B167">
        <v>101</v>
      </c>
      <c r="C167" t="s">
        <v>26</v>
      </c>
      <c r="D167" s="2" t="s">
        <v>339</v>
      </c>
      <c r="E167" s="7" t="s">
        <v>239</v>
      </c>
      <c r="F167" s="7" t="s">
        <v>239</v>
      </c>
      <c r="J167" s="2" t="s">
        <v>428</v>
      </c>
      <c r="K167" s="2" t="s">
        <v>430</v>
      </c>
      <c r="L167" s="2" t="s">
        <v>31</v>
      </c>
    </row>
    <row r="168" spans="1:12" ht="15.5" x14ac:dyDescent="0.35">
      <c r="A168" s="6">
        <v>45672</v>
      </c>
      <c r="B168">
        <v>102</v>
      </c>
      <c r="C168" t="s">
        <v>26</v>
      </c>
      <c r="D168" s="2" t="s">
        <v>339</v>
      </c>
      <c r="E168" s="7" t="s">
        <v>241</v>
      </c>
      <c r="F168" s="7" t="s">
        <v>241</v>
      </c>
      <c r="J168" s="2" t="s">
        <v>428</v>
      </c>
      <c r="K168" s="2" t="s">
        <v>430</v>
      </c>
      <c r="L168" s="2" t="s">
        <v>31</v>
      </c>
    </row>
    <row r="169" spans="1:12" ht="15.5" x14ac:dyDescent="0.35">
      <c r="A169" s="6">
        <v>45672</v>
      </c>
      <c r="B169">
        <v>103</v>
      </c>
      <c r="C169" t="s">
        <v>26</v>
      </c>
      <c r="D169" s="2" t="s">
        <v>339</v>
      </c>
      <c r="E169" s="7" t="s">
        <v>243</v>
      </c>
      <c r="F169" s="7" t="s">
        <v>243</v>
      </c>
      <c r="J169" s="2" t="s">
        <v>428</v>
      </c>
      <c r="K169" s="2" t="s">
        <v>430</v>
      </c>
      <c r="L169" s="2" t="s">
        <v>31</v>
      </c>
    </row>
    <row r="170" spans="1:12" ht="15.5" x14ac:dyDescent="0.35">
      <c r="A170" s="6">
        <v>45672</v>
      </c>
      <c r="B170">
        <v>104</v>
      </c>
      <c r="C170" t="s">
        <v>26</v>
      </c>
      <c r="D170" s="2" t="s">
        <v>339</v>
      </c>
      <c r="E170" s="7" t="s">
        <v>245</v>
      </c>
      <c r="F170" s="7" t="s">
        <v>245</v>
      </c>
      <c r="J170" s="2" t="s">
        <v>428</v>
      </c>
      <c r="K170" s="2" t="s">
        <v>430</v>
      </c>
      <c r="L170" s="2" t="s">
        <v>31</v>
      </c>
    </row>
    <row r="171" spans="1:12" ht="15.5" x14ac:dyDescent="0.35">
      <c r="A171" s="6">
        <v>45672</v>
      </c>
      <c r="B171">
        <v>105</v>
      </c>
      <c r="C171" t="s">
        <v>26</v>
      </c>
      <c r="D171" s="2" t="s">
        <v>339</v>
      </c>
      <c r="E171" s="7" t="s">
        <v>246</v>
      </c>
      <c r="F171" s="7" t="s">
        <v>246</v>
      </c>
      <c r="J171" s="2" t="s">
        <v>428</v>
      </c>
      <c r="K171" s="2" t="s">
        <v>430</v>
      </c>
      <c r="L171" s="2" t="s">
        <v>31</v>
      </c>
    </row>
    <row r="172" spans="1:12" ht="15.5" x14ac:dyDescent="0.35">
      <c r="A172" s="6">
        <v>45670</v>
      </c>
      <c r="B172">
        <v>106</v>
      </c>
      <c r="C172" t="s">
        <v>26</v>
      </c>
      <c r="D172" s="2" t="s">
        <v>339</v>
      </c>
      <c r="E172" s="7" t="s">
        <v>249</v>
      </c>
      <c r="F172" s="7" t="s">
        <v>249</v>
      </c>
      <c r="J172" s="2" t="s">
        <v>428</v>
      </c>
      <c r="K172" s="2" t="s">
        <v>430</v>
      </c>
      <c r="L172" s="2" t="s">
        <v>31</v>
      </c>
    </row>
    <row r="173" spans="1:12" ht="15.5" x14ac:dyDescent="0.35">
      <c r="A173" s="6">
        <v>45670</v>
      </c>
      <c r="B173">
        <v>107</v>
      </c>
      <c r="C173" t="s">
        <v>26</v>
      </c>
      <c r="D173" s="2" t="s">
        <v>339</v>
      </c>
      <c r="E173" s="7" t="s">
        <v>251</v>
      </c>
      <c r="F173" s="7" t="s">
        <v>251</v>
      </c>
      <c r="J173" s="2" t="s">
        <v>428</v>
      </c>
      <c r="K173" s="2" t="s">
        <v>430</v>
      </c>
      <c r="L173" s="2" t="s">
        <v>31</v>
      </c>
    </row>
    <row r="174" spans="1:12" ht="15.5" x14ac:dyDescent="0.35">
      <c r="A174" s="6">
        <v>45670</v>
      </c>
      <c r="B174">
        <v>108</v>
      </c>
      <c r="C174" t="s">
        <v>26</v>
      </c>
      <c r="D174" s="2" t="s">
        <v>339</v>
      </c>
      <c r="E174" s="7" t="s">
        <v>254</v>
      </c>
      <c r="F174" s="7" t="s">
        <v>254</v>
      </c>
      <c r="J174" s="2" t="s">
        <v>428</v>
      </c>
      <c r="K174" s="2" t="s">
        <v>430</v>
      </c>
      <c r="L174" s="2" t="s">
        <v>31</v>
      </c>
    </row>
    <row r="175" spans="1:12" ht="15.5" x14ac:dyDescent="0.35">
      <c r="A175" s="6">
        <v>45667</v>
      </c>
      <c r="B175">
        <v>109</v>
      </c>
      <c r="C175" t="s">
        <v>26</v>
      </c>
      <c r="D175" s="2" t="s">
        <v>339</v>
      </c>
      <c r="E175" s="7" t="s">
        <v>257</v>
      </c>
      <c r="F175" s="7" t="s">
        <v>257</v>
      </c>
      <c r="J175" s="2" t="s">
        <v>428</v>
      </c>
      <c r="K175" s="2" t="s">
        <v>430</v>
      </c>
      <c r="L175" s="2" t="s">
        <v>31</v>
      </c>
    </row>
    <row r="176" spans="1:12" ht="15.5" x14ac:dyDescent="0.35">
      <c r="A176" s="6">
        <v>45667</v>
      </c>
      <c r="B176">
        <v>110</v>
      </c>
      <c r="C176" t="s">
        <v>26</v>
      </c>
      <c r="D176" s="2" t="s">
        <v>339</v>
      </c>
      <c r="E176" s="7" t="s">
        <v>193</v>
      </c>
      <c r="F176" s="7" t="s">
        <v>193</v>
      </c>
      <c r="J176" s="2" t="s">
        <v>428</v>
      </c>
      <c r="K176" s="2" t="s">
        <v>430</v>
      </c>
      <c r="L176" s="2" t="s">
        <v>31</v>
      </c>
    </row>
    <row r="177" spans="1:12" ht="29" x14ac:dyDescent="0.35">
      <c r="A177" s="6">
        <v>45666</v>
      </c>
      <c r="B177">
        <v>111</v>
      </c>
      <c r="C177" t="s">
        <v>26</v>
      </c>
      <c r="D177" s="2" t="s">
        <v>339</v>
      </c>
      <c r="E177" s="7" t="s">
        <v>258</v>
      </c>
      <c r="F177" s="7" t="s">
        <v>258</v>
      </c>
      <c r="J177" s="2" t="s">
        <v>428</v>
      </c>
      <c r="K177" s="2" t="s">
        <v>430</v>
      </c>
      <c r="L177" s="2" t="s">
        <v>31</v>
      </c>
    </row>
    <row r="178" spans="1:12" ht="15.5" x14ac:dyDescent="0.35">
      <c r="A178" s="6">
        <v>45666</v>
      </c>
      <c r="B178">
        <v>112</v>
      </c>
      <c r="C178" t="s">
        <v>26</v>
      </c>
      <c r="D178" s="2" t="s">
        <v>339</v>
      </c>
      <c r="E178" s="7" t="s">
        <v>213</v>
      </c>
      <c r="F178" s="7" t="s">
        <v>213</v>
      </c>
      <c r="J178" s="2" t="s">
        <v>428</v>
      </c>
      <c r="K178" s="2" t="s">
        <v>430</v>
      </c>
      <c r="L178" s="2" t="s">
        <v>31</v>
      </c>
    </row>
    <row r="179" spans="1:12" ht="15.5" x14ac:dyDescent="0.35">
      <c r="A179" s="6">
        <v>45666</v>
      </c>
      <c r="B179">
        <v>113</v>
      </c>
      <c r="C179" t="s">
        <v>26</v>
      </c>
      <c r="D179" s="2" t="s">
        <v>339</v>
      </c>
      <c r="E179" s="7" t="s">
        <v>261</v>
      </c>
      <c r="F179" s="7" t="s">
        <v>261</v>
      </c>
      <c r="J179" s="2" t="s">
        <v>428</v>
      </c>
      <c r="K179" s="2" t="s">
        <v>430</v>
      </c>
      <c r="L179" s="2" t="s">
        <v>31</v>
      </c>
    </row>
    <row r="180" spans="1:12" ht="15.5" x14ac:dyDescent="0.35">
      <c r="A180" s="6">
        <v>45666</v>
      </c>
      <c r="B180">
        <v>114</v>
      </c>
      <c r="C180" t="s">
        <v>26</v>
      </c>
      <c r="D180" s="2" t="s">
        <v>339</v>
      </c>
      <c r="E180" s="7" t="s">
        <v>263</v>
      </c>
      <c r="F180" s="7" t="s">
        <v>263</v>
      </c>
      <c r="J180" s="2" t="s">
        <v>428</v>
      </c>
      <c r="K180" s="2" t="s">
        <v>430</v>
      </c>
      <c r="L180" s="2" t="s">
        <v>31</v>
      </c>
    </row>
    <row r="181" spans="1:12" ht="15.5" x14ac:dyDescent="0.35">
      <c r="A181" s="6">
        <v>45666</v>
      </c>
      <c r="B181">
        <v>115</v>
      </c>
      <c r="C181" t="s">
        <v>26</v>
      </c>
      <c r="D181" s="2" t="s">
        <v>339</v>
      </c>
      <c r="E181" s="7" t="s">
        <v>265</v>
      </c>
      <c r="F181" s="7" t="s">
        <v>265</v>
      </c>
      <c r="J181" s="2" t="s">
        <v>428</v>
      </c>
      <c r="K181" s="2" t="s">
        <v>430</v>
      </c>
      <c r="L181" s="2" t="s">
        <v>31</v>
      </c>
    </row>
    <row r="182" spans="1:12" ht="15.5" x14ac:dyDescent="0.35">
      <c r="A182" s="6">
        <v>45665</v>
      </c>
      <c r="B182">
        <v>116</v>
      </c>
      <c r="C182" t="s">
        <v>26</v>
      </c>
      <c r="D182" s="2" t="s">
        <v>339</v>
      </c>
      <c r="E182" s="7" t="s">
        <v>161</v>
      </c>
      <c r="F182" s="7" t="s">
        <v>161</v>
      </c>
      <c r="J182" s="2" t="s">
        <v>428</v>
      </c>
      <c r="K182" s="2" t="s">
        <v>430</v>
      </c>
      <c r="L182" s="2" t="s">
        <v>31</v>
      </c>
    </row>
    <row r="183" spans="1:12" ht="15.5" x14ac:dyDescent="0.35">
      <c r="A183" s="6">
        <v>45665</v>
      </c>
      <c r="B183">
        <v>117</v>
      </c>
      <c r="C183" t="s">
        <v>26</v>
      </c>
      <c r="D183" s="2" t="s">
        <v>339</v>
      </c>
      <c r="E183" s="7" t="s">
        <v>267</v>
      </c>
      <c r="F183" s="7" t="s">
        <v>267</v>
      </c>
      <c r="J183" s="2" t="s">
        <v>428</v>
      </c>
      <c r="K183" s="2" t="s">
        <v>430</v>
      </c>
      <c r="L183" s="2" t="s">
        <v>31</v>
      </c>
    </row>
    <row r="184" spans="1:12" ht="15.5" x14ac:dyDescent="0.35">
      <c r="A184" s="6">
        <v>45665</v>
      </c>
      <c r="B184">
        <v>118</v>
      </c>
      <c r="C184" t="s">
        <v>26</v>
      </c>
      <c r="D184" s="2" t="s">
        <v>339</v>
      </c>
      <c r="E184" s="7" t="s">
        <v>269</v>
      </c>
      <c r="F184" s="7" t="s">
        <v>269</v>
      </c>
      <c r="J184" s="2" t="s">
        <v>428</v>
      </c>
      <c r="K184" s="2" t="s">
        <v>430</v>
      </c>
      <c r="L184" s="2" t="s">
        <v>31</v>
      </c>
    </row>
    <row r="185" spans="1:12" ht="15.5" x14ac:dyDescent="0.35">
      <c r="A185" s="6">
        <v>45664</v>
      </c>
      <c r="B185">
        <v>119</v>
      </c>
      <c r="C185" t="s">
        <v>26</v>
      </c>
      <c r="D185" s="2" t="s">
        <v>339</v>
      </c>
      <c r="E185" s="7" t="s">
        <v>271</v>
      </c>
      <c r="F185" s="7" t="s">
        <v>271</v>
      </c>
      <c r="J185" s="2" t="s">
        <v>428</v>
      </c>
      <c r="K185" s="2" t="s">
        <v>430</v>
      </c>
      <c r="L185" s="2" t="s">
        <v>31</v>
      </c>
    </row>
    <row r="186" spans="1:12" ht="15.5" x14ac:dyDescent="0.35">
      <c r="A186" s="6">
        <v>45664</v>
      </c>
      <c r="B186">
        <v>120</v>
      </c>
      <c r="C186" t="s">
        <v>26</v>
      </c>
      <c r="D186" s="2" t="s">
        <v>339</v>
      </c>
      <c r="E186" s="7" t="s">
        <v>274</v>
      </c>
      <c r="F186" s="7" t="s">
        <v>274</v>
      </c>
      <c r="J186" s="2" t="s">
        <v>428</v>
      </c>
      <c r="K186" s="2" t="s">
        <v>430</v>
      </c>
      <c r="L186" s="2" t="s">
        <v>31</v>
      </c>
    </row>
    <row r="187" spans="1:12" ht="15.5" x14ac:dyDescent="0.35">
      <c r="A187" s="6">
        <v>45664</v>
      </c>
      <c r="B187">
        <v>121</v>
      </c>
      <c r="C187" t="s">
        <v>26</v>
      </c>
      <c r="D187" s="2" t="s">
        <v>339</v>
      </c>
      <c r="E187" s="7" t="s">
        <v>276</v>
      </c>
      <c r="F187" s="7" t="s">
        <v>276</v>
      </c>
      <c r="J187" s="2" t="s">
        <v>428</v>
      </c>
      <c r="K187" s="2" t="s">
        <v>430</v>
      </c>
      <c r="L187" s="2" t="s">
        <v>31</v>
      </c>
    </row>
    <row r="188" spans="1:12" ht="15.5" x14ac:dyDescent="0.35">
      <c r="A188" s="6">
        <v>45663</v>
      </c>
      <c r="B188">
        <v>122</v>
      </c>
      <c r="C188" t="s">
        <v>26</v>
      </c>
      <c r="D188" s="2" t="s">
        <v>339</v>
      </c>
      <c r="E188" s="7" t="s">
        <v>278</v>
      </c>
      <c r="F188" s="7" t="s">
        <v>278</v>
      </c>
      <c r="J188" s="2" t="s">
        <v>428</v>
      </c>
      <c r="K188" s="2" t="s">
        <v>430</v>
      </c>
      <c r="L188" s="2" t="s">
        <v>31</v>
      </c>
    </row>
    <row r="189" spans="1:12" ht="29" x14ac:dyDescent="0.35">
      <c r="A189" s="6">
        <v>45663</v>
      </c>
      <c r="B189">
        <v>123</v>
      </c>
      <c r="C189" t="s">
        <v>26</v>
      </c>
      <c r="D189" s="2" t="s">
        <v>339</v>
      </c>
      <c r="E189" s="7" t="s">
        <v>279</v>
      </c>
      <c r="F189" s="7" t="s">
        <v>279</v>
      </c>
      <c r="J189" s="2" t="s">
        <v>428</v>
      </c>
      <c r="K189" s="2" t="s">
        <v>430</v>
      </c>
      <c r="L189" s="2" t="s">
        <v>31</v>
      </c>
    </row>
    <row r="190" spans="1:12" ht="29" x14ac:dyDescent="0.35">
      <c r="A190" s="6">
        <v>45663</v>
      </c>
      <c r="B190">
        <v>124</v>
      </c>
      <c r="C190" t="s">
        <v>26</v>
      </c>
      <c r="D190" s="2" t="s">
        <v>339</v>
      </c>
      <c r="E190" s="7" t="s">
        <v>282</v>
      </c>
      <c r="F190" s="7" t="s">
        <v>282</v>
      </c>
      <c r="J190" s="2" t="s">
        <v>428</v>
      </c>
      <c r="K190" s="2" t="s">
        <v>430</v>
      </c>
      <c r="L190" s="2" t="s">
        <v>31</v>
      </c>
    </row>
    <row r="191" spans="1:12" ht="15.5" x14ac:dyDescent="0.35">
      <c r="A191" s="6">
        <v>45660</v>
      </c>
      <c r="B191">
        <v>125</v>
      </c>
      <c r="C191" t="s">
        <v>26</v>
      </c>
      <c r="D191" s="2" t="s">
        <v>339</v>
      </c>
      <c r="E191" s="7" t="s">
        <v>283</v>
      </c>
      <c r="F191" s="7" t="s">
        <v>283</v>
      </c>
      <c r="J191" s="2" t="s">
        <v>428</v>
      </c>
      <c r="K191" s="2" t="s">
        <v>430</v>
      </c>
      <c r="L191" s="2" t="s">
        <v>31</v>
      </c>
    </row>
  </sheetData>
  <autoFilter ref="A1:Q19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"/>
  <sheetViews>
    <sheetView topLeftCell="G6" zoomScaleNormal="100" workbookViewId="0">
      <selection activeCell="X9" sqref="X9:Z10"/>
    </sheetView>
  </sheetViews>
  <sheetFormatPr baseColWidth="10" defaultRowHeight="14.5" x14ac:dyDescent="0.35"/>
  <cols>
    <col min="2" max="2" width="18.54296875" bestFit="1" customWidth="1"/>
    <col min="4" max="4" width="17.54296875" bestFit="1" customWidth="1"/>
    <col min="6" max="6" width="25" customWidth="1"/>
    <col min="7" max="7" width="16.36328125" customWidth="1"/>
    <col min="8" max="8" width="28.26953125" customWidth="1"/>
    <col min="9" max="9" width="17" customWidth="1"/>
    <col min="10" max="10" width="20" bestFit="1" customWidth="1"/>
    <col min="11" max="11" width="12.453125" customWidth="1"/>
    <col min="12" max="13" width="23.90625" customWidth="1"/>
    <col min="14" max="14" width="32.08984375" customWidth="1"/>
    <col min="20" max="20" width="15.453125" customWidth="1"/>
  </cols>
  <sheetData>
    <row r="1" spans="1:24" x14ac:dyDescent="0.35">
      <c r="A1" t="s">
        <v>291</v>
      </c>
    </row>
    <row r="2" spans="1:24" x14ac:dyDescent="0.35">
      <c r="A2" t="s">
        <v>292</v>
      </c>
    </row>
    <row r="3" spans="1:24" x14ac:dyDescent="0.35">
      <c r="A3" t="s">
        <v>293</v>
      </c>
    </row>
    <row r="9" spans="1:24" x14ac:dyDescent="0.35">
      <c r="B9" s="12" t="s">
        <v>9</v>
      </c>
      <c r="C9" s="13"/>
      <c r="D9" s="12" t="s">
        <v>415</v>
      </c>
      <c r="F9" s="13"/>
      <c r="H9" s="13" t="s">
        <v>500</v>
      </c>
      <c r="J9" s="13" t="s">
        <v>501</v>
      </c>
      <c r="M9" s="13" t="s">
        <v>502</v>
      </c>
      <c r="O9" s="13" t="s">
        <v>503</v>
      </c>
      <c r="R9" s="13" t="s">
        <v>504</v>
      </c>
      <c r="U9" s="13" t="s">
        <v>505</v>
      </c>
      <c r="X9" s="13" t="s">
        <v>506</v>
      </c>
    </row>
    <row r="10" spans="1:24" x14ac:dyDescent="0.35">
      <c r="B10" s="10"/>
      <c r="D10" s="34"/>
      <c r="F10" s="13" t="s">
        <v>499</v>
      </c>
      <c r="H10" t="s">
        <v>467</v>
      </c>
      <c r="J10" t="s">
        <v>472</v>
      </c>
      <c r="M10" t="s">
        <v>479</v>
      </c>
      <c r="O10" t="s">
        <v>483</v>
      </c>
      <c r="R10" t="s">
        <v>487</v>
      </c>
      <c r="U10" t="s">
        <v>492</v>
      </c>
      <c r="X10" t="s">
        <v>498</v>
      </c>
    </row>
    <row r="11" spans="1:24" x14ac:dyDescent="0.35">
      <c r="B11" s="11"/>
      <c r="D11" s="32" t="s">
        <v>455</v>
      </c>
      <c r="F11" t="s">
        <v>461</v>
      </c>
      <c r="H11" t="s">
        <v>468</v>
      </c>
      <c r="J11" t="s">
        <v>473</v>
      </c>
      <c r="M11" t="s">
        <v>480</v>
      </c>
      <c r="O11" t="s">
        <v>484</v>
      </c>
      <c r="R11" t="s">
        <v>488</v>
      </c>
      <c r="U11" t="s">
        <v>493</v>
      </c>
    </row>
    <row r="12" spans="1:24" x14ac:dyDescent="0.35">
      <c r="B12" s="11"/>
      <c r="D12" s="35" t="s">
        <v>418</v>
      </c>
      <c r="F12" t="s">
        <v>462</v>
      </c>
      <c r="H12" t="s">
        <v>469</v>
      </c>
      <c r="J12" t="s">
        <v>474</v>
      </c>
      <c r="M12" t="s">
        <v>481</v>
      </c>
      <c r="O12" t="s">
        <v>485</v>
      </c>
      <c r="R12" t="s">
        <v>489</v>
      </c>
      <c r="U12" t="s">
        <v>494</v>
      </c>
    </row>
    <row r="13" spans="1:24" x14ac:dyDescent="0.35">
      <c r="B13" s="32" t="s">
        <v>419</v>
      </c>
      <c r="D13" s="32" t="s">
        <v>456</v>
      </c>
      <c r="F13" t="s">
        <v>463</v>
      </c>
      <c r="H13" t="s">
        <v>470</v>
      </c>
      <c r="J13" t="s">
        <v>475</v>
      </c>
      <c r="M13" t="s">
        <v>482</v>
      </c>
      <c r="O13" t="s">
        <v>416</v>
      </c>
      <c r="R13" t="s">
        <v>490</v>
      </c>
      <c r="U13" t="s">
        <v>495</v>
      </c>
    </row>
    <row r="14" spans="1:24" x14ac:dyDescent="0.35">
      <c r="B14" s="10"/>
      <c r="D14" s="32" t="s">
        <v>421</v>
      </c>
      <c r="F14" t="s">
        <v>464</v>
      </c>
      <c r="H14" t="s">
        <v>471</v>
      </c>
      <c r="J14" t="s">
        <v>476</v>
      </c>
      <c r="O14" t="s">
        <v>486</v>
      </c>
      <c r="R14" t="s">
        <v>491</v>
      </c>
      <c r="U14" t="s">
        <v>496</v>
      </c>
    </row>
    <row r="15" spans="1:24" x14ac:dyDescent="0.35">
      <c r="B15" s="10"/>
      <c r="D15" s="32" t="s">
        <v>422</v>
      </c>
      <c r="F15" t="s">
        <v>465</v>
      </c>
      <c r="J15" t="s">
        <v>477</v>
      </c>
      <c r="U15" t="s">
        <v>497</v>
      </c>
    </row>
    <row r="16" spans="1:24" x14ac:dyDescent="0.35">
      <c r="B16" s="10"/>
      <c r="D16" s="32" t="s">
        <v>424</v>
      </c>
      <c r="F16" t="s">
        <v>466</v>
      </c>
      <c r="J16" t="s">
        <v>478</v>
      </c>
    </row>
    <row r="17" spans="2:10" x14ac:dyDescent="0.35">
      <c r="B17" s="10"/>
      <c r="D17" s="32" t="s">
        <v>425</v>
      </c>
      <c r="J17" t="s">
        <v>486</v>
      </c>
    </row>
    <row r="18" spans="2:10" x14ac:dyDescent="0.35">
      <c r="B18" s="10"/>
      <c r="D18" s="32" t="s">
        <v>427</v>
      </c>
    </row>
    <row r="19" spans="2:10" x14ac:dyDescent="0.35">
      <c r="B19" s="11"/>
      <c r="D19" s="32" t="s">
        <v>34</v>
      </c>
    </row>
    <row r="20" spans="2:10" x14ac:dyDescent="0.35">
      <c r="B20" s="10"/>
      <c r="D20" s="35" t="s">
        <v>458</v>
      </c>
    </row>
    <row r="21" spans="2:10" x14ac:dyDescent="0.35">
      <c r="B21" s="33" t="s">
        <v>454</v>
      </c>
      <c r="D21" s="32" t="s">
        <v>457</v>
      </c>
    </row>
    <row r="22" spans="2:10" x14ac:dyDescent="0.35">
      <c r="D22" s="33" t="s">
        <v>460</v>
      </c>
    </row>
    <row r="23" spans="2:10" x14ac:dyDescent="0.35">
      <c r="D23" s="36" t="s">
        <v>459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6"/>
  <sheetViews>
    <sheetView tabSelected="1" workbookViewId="0">
      <selection activeCell="A13" sqref="A13"/>
    </sheetView>
  </sheetViews>
  <sheetFormatPr baseColWidth="10" defaultRowHeight="14.5" x14ac:dyDescent="0.35"/>
  <cols>
    <col min="1" max="1" width="36.453125" customWidth="1"/>
    <col min="2" max="2" width="19.453125" bestFit="1" customWidth="1"/>
  </cols>
  <sheetData>
    <row r="3" spans="1:3" x14ac:dyDescent="0.35">
      <c r="A3" s="21" t="s">
        <v>439</v>
      </c>
      <c r="B3" t="s">
        <v>438</v>
      </c>
    </row>
    <row r="4" spans="1:3" x14ac:dyDescent="0.35">
      <c r="A4" s="20" t="s">
        <v>31</v>
      </c>
      <c r="B4">
        <v>190</v>
      </c>
      <c r="C4" s="15">
        <f>GETPIVOTDATA("N° Ticket",$A$3,"Impact incident","PAS D'IMPACTE SUR L'ARRÊT DE SERVICE")/GETPIVOTDATA("N° Ticket",$A$3)</f>
        <v>1</v>
      </c>
    </row>
    <row r="5" spans="1:3" x14ac:dyDescent="0.35">
      <c r="A5" s="20" t="s">
        <v>437</v>
      </c>
      <c r="B5">
        <v>190</v>
      </c>
      <c r="C5" s="15"/>
    </row>
    <row r="6" spans="1:3" x14ac:dyDescent="0.35">
      <c r="C6" s="15"/>
    </row>
    <row r="11" spans="1:3" x14ac:dyDescent="0.35">
      <c r="A11" s="19" t="s">
        <v>436</v>
      </c>
      <c r="B11" s="19" t="s">
        <v>435</v>
      </c>
    </row>
    <row r="12" spans="1:3" x14ac:dyDescent="0.35">
      <c r="A12" s="18" t="s">
        <v>434</v>
      </c>
      <c r="B12" s="17">
        <v>1</v>
      </c>
    </row>
    <row r="13" spans="1:3" x14ac:dyDescent="0.35">
      <c r="A13" s="10" t="s">
        <v>433</v>
      </c>
      <c r="B13" s="16">
        <v>0</v>
      </c>
    </row>
    <row r="15" spans="1:3" x14ac:dyDescent="0.35">
      <c r="C15" s="15"/>
    </row>
    <row r="16" spans="1:3" x14ac:dyDescent="0.35">
      <c r="C16" s="1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6"/>
  <sheetViews>
    <sheetView workbookViewId="0">
      <selection activeCell="B18" sqref="B18"/>
    </sheetView>
  </sheetViews>
  <sheetFormatPr baseColWidth="10" defaultRowHeight="14.5" x14ac:dyDescent="0.35"/>
  <cols>
    <col min="1" max="1" width="24.453125" customWidth="1"/>
    <col min="2" max="2" width="19.453125" bestFit="1" customWidth="1"/>
  </cols>
  <sheetData>
    <row r="3" spans="1:3" x14ac:dyDescent="0.35">
      <c r="A3" s="21" t="s">
        <v>439</v>
      </c>
      <c r="B3" t="s">
        <v>438</v>
      </c>
    </row>
    <row r="4" spans="1:3" x14ac:dyDescent="0.35">
      <c r="A4" s="20" t="s">
        <v>26</v>
      </c>
      <c r="B4">
        <v>186</v>
      </c>
      <c r="C4" s="15">
        <f>GETPIVOTDATA("N° Ticket",$A$3,"Statut","CLÔTURÉ")/GETPIVOTDATA("N° Ticket",$A$3)</f>
        <v>0.97894736842105268</v>
      </c>
    </row>
    <row r="5" spans="1:3" x14ac:dyDescent="0.35">
      <c r="A5" s="20" t="s">
        <v>20</v>
      </c>
      <c r="B5">
        <v>4</v>
      </c>
      <c r="C5" s="15">
        <f>GETPIVOTDATA("N° Ticket",$A$3,"Statut","EN COURS DE TRAITEMENT")/GETPIVOTDATA("N° Ticket",$A$3)</f>
        <v>2.1052631578947368E-2</v>
      </c>
    </row>
    <row r="6" spans="1:3" x14ac:dyDescent="0.35">
      <c r="A6" s="20" t="s">
        <v>437</v>
      </c>
      <c r="B6">
        <v>190</v>
      </c>
    </row>
    <row r="10" spans="1:3" x14ac:dyDescent="0.35">
      <c r="A10" s="11" t="s">
        <v>440</v>
      </c>
      <c r="B10" s="16">
        <f>GETPIVOTDATA("N° Ticket",$A$3,"Statut","CLÔTURÉ")/GETPIVOTDATA("N° Ticket",$A$3)</f>
        <v>0.97894736842105268</v>
      </c>
    </row>
    <row r="11" spans="1:3" x14ac:dyDescent="0.35">
      <c r="A11" s="11" t="s">
        <v>441</v>
      </c>
      <c r="B11" s="16">
        <v>0.01</v>
      </c>
    </row>
    <row r="14" spans="1:3" ht="15" thickBot="1" x14ac:dyDescent="0.4"/>
    <row r="15" spans="1:3" ht="16" thickBot="1" x14ac:dyDescent="0.4">
      <c r="A15" s="22" t="s">
        <v>442</v>
      </c>
      <c r="B15" s="22" t="s">
        <v>443</v>
      </c>
      <c r="C15" s="22" t="s">
        <v>444</v>
      </c>
    </row>
    <row r="16" spans="1:3" ht="16.5" thickTop="1" thickBot="1" x14ac:dyDescent="0.4">
      <c r="A16" s="37" t="s">
        <v>445</v>
      </c>
      <c r="B16" s="23" t="s">
        <v>446</v>
      </c>
      <c r="C16" s="23">
        <v>99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5"/>
  <sheetViews>
    <sheetView workbookViewId="0">
      <selection activeCell="H11" sqref="H11"/>
    </sheetView>
  </sheetViews>
  <sheetFormatPr baseColWidth="10" defaultRowHeight="14.5" x14ac:dyDescent="0.35"/>
  <cols>
    <col min="1" max="1" width="21" bestFit="1" customWidth="1"/>
    <col min="2" max="2" width="19.453125" bestFit="1" customWidth="1"/>
  </cols>
  <sheetData>
    <row r="3" spans="1:2" x14ac:dyDescent="0.35">
      <c r="A3" s="21" t="s">
        <v>439</v>
      </c>
      <c r="B3" t="s">
        <v>438</v>
      </c>
    </row>
    <row r="4" spans="1:2" x14ac:dyDescent="0.35">
      <c r="A4" s="20" t="s">
        <v>419</v>
      </c>
      <c r="B4">
        <v>59</v>
      </c>
    </row>
    <row r="5" spans="1:2" x14ac:dyDescent="0.35">
      <c r="A5" s="20" t="s">
        <v>428</v>
      </c>
      <c r="B5">
        <v>58</v>
      </c>
    </row>
    <row r="6" spans="1:2" x14ac:dyDescent="0.35">
      <c r="A6" s="20" t="s">
        <v>34</v>
      </c>
      <c r="B6">
        <v>35</v>
      </c>
    </row>
    <row r="7" spans="1:2" x14ac:dyDescent="0.35">
      <c r="A7" s="20" t="s">
        <v>420</v>
      </c>
      <c r="B7">
        <v>17</v>
      </c>
    </row>
    <row r="8" spans="1:2" x14ac:dyDescent="0.35">
      <c r="A8" s="20" t="s">
        <v>294</v>
      </c>
      <c r="B8">
        <v>7</v>
      </c>
    </row>
    <row r="9" spans="1:2" x14ac:dyDescent="0.35">
      <c r="A9" s="20" t="s">
        <v>426</v>
      </c>
      <c r="B9">
        <v>6</v>
      </c>
    </row>
    <row r="10" spans="1:2" x14ac:dyDescent="0.35">
      <c r="A10" s="20" t="s">
        <v>416</v>
      </c>
      <c r="B10">
        <v>3</v>
      </c>
    </row>
    <row r="11" spans="1:2" x14ac:dyDescent="0.35">
      <c r="A11" s="20" t="s">
        <v>429</v>
      </c>
      <c r="B11">
        <v>2</v>
      </c>
    </row>
    <row r="12" spans="1:2" x14ac:dyDescent="0.35">
      <c r="A12" s="20" t="s">
        <v>417</v>
      </c>
      <c r="B12">
        <v>1</v>
      </c>
    </row>
    <row r="13" spans="1:2" x14ac:dyDescent="0.35">
      <c r="A13" s="20" t="s">
        <v>431</v>
      </c>
      <c r="B13">
        <v>1</v>
      </c>
    </row>
    <row r="14" spans="1:2" x14ac:dyDescent="0.35">
      <c r="A14" s="20" t="s">
        <v>423</v>
      </c>
      <c r="B14">
        <v>1</v>
      </c>
    </row>
    <row r="15" spans="1:2" x14ac:dyDescent="0.35">
      <c r="A15" s="20" t="s">
        <v>437</v>
      </c>
      <c r="B15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34"/>
  <sheetViews>
    <sheetView workbookViewId="0">
      <selection activeCell="G16" sqref="G16"/>
    </sheetView>
  </sheetViews>
  <sheetFormatPr baseColWidth="10" defaultRowHeight="14.5" x14ac:dyDescent="0.35"/>
  <cols>
    <col min="1" max="1" width="21" customWidth="1"/>
    <col min="2" max="2" width="19.453125" bestFit="1" customWidth="1"/>
  </cols>
  <sheetData>
    <row r="3" spans="1:2" x14ac:dyDescent="0.35">
      <c r="A3" s="21" t="s">
        <v>439</v>
      </c>
      <c r="B3" s="24" t="s">
        <v>438</v>
      </c>
    </row>
    <row r="4" spans="1:2" x14ac:dyDescent="0.35">
      <c r="A4" s="20" t="s">
        <v>430</v>
      </c>
      <c r="B4" s="24">
        <v>58</v>
      </c>
    </row>
    <row r="5" spans="1:2" x14ac:dyDescent="0.35">
      <c r="A5" s="20" t="s">
        <v>29</v>
      </c>
      <c r="B5" s="24">
        <v>40</v>
      </c>
    </row>
    <row r="6" spans="1:2" x14ac:dyDescent="0.35">
      <c r="A6" s="20" t="s">
        <v>422</v>
      </c>
      <c r="B6" s="24">
        <v>30</v>
      </c>
    </row>
    <row r="7" spans="1:2" x14ac:dyDescent="0.35">
      <c r="A7" s="20" t="s">
        <v>421</v>
      </c>
      <c r="B7" s="24">
        <v>29</v>
      </c>
    </row>
    <row r="8" spans="1:2" x14ac:dyDescent="0.35">
      <c r="A8" s="20" t="s">
        <v>427</v>
      </c>
      <c r="B8" s="24">
        <v>8</v>
      </c>
    </row>
    <row r="9" spans="1:2" x14ac:dyDescent="0.35">
      <c r="A9" s="20" t="s">
        <v>296</v>
      </c>
      <c r="B9" s="24">
        <v>7</v>
      </c>
    </row>
    <row r="10" spans="1:2" x14ac:dyDescent="0.35">
      <c r="A10" s="20" t="s">
        <v>295</v>
      </c>
      <c r="B10" s="24">
        <v>6</v>
      </c>
    </row>
    <row r="11" spans="1:2" x14ac:dyDescent="0.35">
      <c r="A11" s="20" t="s">
        <v>432</v>
      </c>
      <c r="B11" s="24">
        <v>4</v>
      </c>
    </row>
    <row r="12" spans="1:2" x14ac:dyDescent="0.35">
      <c r="A12" s="20" t="s">
        <v>424</v>
      </c>
      <c r="B12" s="24">
        <v>3</v>
      </c>
    </row>
    <row r="13" spans="1:2" x14ac:dyDescent="0.35">
      <c r="A13" s="20" t="s">
        <v>425</v>
      </c>
      <c r="B13" s="24">
        <v>2</v>
      </c>
    </row>
    <row r="14" spans="1:2" x14ac:dyDescent="0.35">
      <c r="A14" s="20" t="s">
        <v>418</v>
      </c>
      <c r="B14" s="24">
        <v>1</v>
      </c>
    </row>
    <row r="15" spans="1:2" x14ac:dyDescent="0.35">
      <c r="A15" s="20" t="s">
        <v>47</v>
      </c>
      <c r="B15" s="24">
        <v>1</v>
      </c>
    </row>
    <row r="16" spans="1:2" x14ac:dyDescent="0.35">
      <c r="A16" s="20" t="s">
        <v>297</v>
      </c>
      <c r="B16" s="24">
        <v>1</v>
      </c>
    </row>
    <row r="17" spans="1:2" x14ac:dyDescent="0.35">
      <c r="A17" s="20" t="s">
        <v>437</v>
      </c>
      <c r="B17" s="24">
        <v>190</v>
      </c>
    </row>
    <row r="34" spans="4:4" x14ac:dyDescent="0.35">
      <c r="D34">
        <f>17+5</f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7"/>
  <sheetViews>
    <sheetView topLeftCell="A27" workbookViewId="0">
      <selection activeCell="K43" sqref="K43"/>
    </sheetView>
  </sheetViews>
  <sheetFormatPr baseColWidth="10" defaultRowHeight="14.5" x14ac:dyDescent="0.35"/>
  <cols>
    <col min="1" max="1" width="22.54296875" customWidth="1"/>
    <col min="3" max="3" width="30.7265625" customWidth="1"/>
    <col min="4" max="4" width="21.7265625" customWidth="1"/>
    <col min="5" max="5" width="22.26953125" customWidth="1"/>
  </cols>
  <sheetData>
    <row r="1" spans="1:6" ht="43.5" x14ac:dyDescent="0.35">
      <c r="A1" s="25" t="s">
        <v>154</v>
      </c>
      <c r="B1" s="26" t="s">
        <v>447</v>
      </c>
      <c r="C1" s="26" t="s">
        <v>448</v>
      </c>
      <c r="D1" s="26" t="s">
        <v>449</v>
      </c>
      <c r="E1" s="26" t="s">
        <v>450</v>
      </c>
      <c r="F1" s="30" t="s">
        <v>156</v>
      </c>
    </row>
    <row r="2" spans="1:6" x14ac:dyDescent="0.35">
      <c r="A2" s="27" t="s">
        <v>222</v>
      </c>
      <c r="B2" s="27">
        <v>1</v>
      </c>
      <c r="C2" s="28" t="s">
        <v>452</v>
      </c>
      <c r="D2" s="27">
        <v>70</v>
      </c>
      <c r="E2" s="27">
        <v>70</v>
      </c>
      <c r="F2" s="31" t="s">
        <v>190</v>
      </c>
    </row>
    <row r="3" spans="1:6" x14ac:dyDescent="0.35">
      <c r="A3" s="27" t="s">
        <v>241</v>
      </c>
      <c r="B3" s="27">
        <v>1</v>
      </c>
      <c r="C3" s="28" t="s">
        <v>452</v>
      </c>
      <c r="D3" s="27">
        <v>70</v>
      </c>
      <c r="E3" s="27">
        <v>70</v>
      </c>
      <c r="F3" s="31" t="s">
        <v>190</v>
      </c>
    </row>
    <row r="4" spans="1:6" x14ac:dyDescent="0.35">
      <c r="A4" s="27" t="s">
        <v>189</v>
      </c>
      <c r="B4" s="27">
        <v>1</v>
      </c>
      <c r="C4" s="29" t="s">
        <v>451</v>
      </c>
      <c r="D4" s="27">
        <v>0</v>
      </c>
      <c r="E4" s="27">
        <v>0</v>
      </c>
      <c r="F4" s="31" t="s">
        <v>186</v>
      </c>
    </row>
    <row r="5" spans="1:6" x14ac:dyDescent="0.35">
      <c r="A5" s="27" t="s">
        <v>284</v>
      </c>
      <c r="B5" s="27">
        <v>1</v>
      </c>
      <c r="C5" s="29" t="s">
        <v>451</v>
      </c>
      <c r="D5" s="27">
        <v>0</v>
      </c>
      <c r="E5" s="27">
        <v>0</v>
      </c>
      <c r="F5" s="31" t="s">
        <v>186</v>
      </c>
    </row>
    <row r="6" spans="1:6" x14ac:dyDescent="0.35">
      <c r="A6" s="27" t="s">
        <v>215</v>
      </c>
      <c r="B6" s="27">
        <v>1</v>
      </c>
      <c r="C6" s="29" t="s">
        <v>451</v>
      </c>
      <c r="D6" s="27">
        <v>0</v>
      </c>
      <c r="E6" s="27">
        <v>0</v>
      </c>
      <c r="F6" s="31" t="s">
        <v>186</v>
      </c>
    </row>
    <row r="7" spans="1:6" x14ac:dyDescent="0.35">
      <c r="A7" s="27" t="s">
        <v>204</v>
      </c>
      <c r="B7" s="27">
        <v>1</v>
      </c>
      <c r="C7" s="29" t="s">
        <v>451</v>
      </c>
      <c r="D7" s="27">
        <v>0</v>
      </c>
      <c r="E7" s="27">
        <v>0</v>
      </c>
      <c r="F7" s="31" t="s">
        <v>186</v>
      </c>
    </row>
    <row r="8" spans="1:6" x14ac:dyDescent="0.35">
      <c r="A8" s="27" t="s">
        <v>168</v>
      </c>
      <c r="B8" s="27">
        <v>1</v>
      </c>
      <c r="C8" s="29" t="s">
        <v>451</v>
      </c>
      <c r="D8" s="27">
        <v>0</v>
      </c>
      <c r="E8" s="27">
        <v>0</v>
      </c>
      <c r="F8" s="31" t="s">
        <v>167</v>
      </c>
    </row>
    <row r="9" spans="1:6" x14ac:dyDescent="0.35">
      <c r="A9" s="27" t="s">
        <v>166</v>
      </c>
      <c r="B9" s="27">
        <v>1</v>
      </c>
      <c r="C9" s="29" t="s">
        <v>451</v>
      </c>
      <c r="D9" s="27">
        <v>0</v>
      </c>
      <c r="E9" s="27">
        <v>0</v>
      </c>
      <c r="F9" s="31" t="s">
        <v>167</v>
      </c>
    </row>
    <row r="10" spans="1:6" x14ac:dyDescent="0.35">
      <c r="A10" s="27" t="s">
        <v>213</v>
      </c>
      <c r="B10" s="27">
        <v>2</v>
      </c>
      <c r="C10" s="28" t="s">
        <v>452</v>
      </c>
      <c r="D10" s="27">
        <v>3</v>
      </c>
      <c r="E10" s="27">
        <v>6</v>
      </c>
      <c r="F10" s="31" t="s">
        <v>190</v>
      </c>
    </row>
    <row r="11" spans="1:6" x14ac:dyDescent="0.35">
      <c r="A11" s="27" t="s">
        <v>281</v>
      </c>
      <c r="B11" s="27">
        <v>1</v>
      </c>
      <c r="C11" s="28" t="s">
        <v>452</v>
      </c>
      <c r="D11" s="27">
        <v>70</v>
      </c>
      <c r="E11" s="27">
        <v>70</v>
      </c>
      <c r="F11" s="31" t="s">
        <v>190</v>
      </c>
    </row>
    <row r="12" spans="1:6" x14ac:dyDescent="0.35">
      <c r="A12" s="27" t="s">
        <v>175</v>
      </c>
      <c r="B12" s="27">
        <v>1</v>
      </c>
      <c r="C12" s="29" t="s">
        <v>451</v>
      </c>
      <c r="D12" s="27">
        <v>0</v>
      </c>
      <c r="E12" s="27">
        <v>0</v>
      </c>
      <c r="F12" s="31" t="s">
        <v>167</v>
      </c>
    </row>
    <row r="13" spans="1:6" x14ac:dyDescent="0.35">
      <c r="A13" s="27" t="s">
        <v>220</v>
      </c>
      <c r="B13" s="27">
        <v>1</v>
      </c>
      <c r="C13" s="29" t="s">
        <v>451</v>
      </c>
      <c r="D13" s="27">
        <v>0</v>
      </c>
      <c r="E13" s="27">
        <v>0</v>
      </c>
      <c r="F13" s="31" t="s">
        <v>186</v>
      </c>
    </row>
    <row r="14" spans="1:6" x14ac:dyDescent="0.35">
      <c r="A14" s="27" t="s">
        <v>226</v>
      </c>
      <c r="B14" s="27">
        <v>1</v>
      </c>
      <c r="C14" s="28" t="s">
        <v>452</v>
      </c>
      <c r="D14" s="27">
        <v>1</v>
      </c>
      <c r="E14" s="27">
        <v>1</v>
      </c>
      <c r="F14" s="31" t="s">
        <v>190</v>
      </c>
    </row>
    <row r="15" spans="1:6" x14ac:dyDescent="0.35">
      <c r="A15" s="27" t="s">
        <v>245</v>
      </c>
      <c r="B15" s="27">
        <v>1</v>
      </c>
      <c r="C15" s="28" t="s">
        <v>452</v>
      </c>
      <c r="D15" s="27">
        <v>1</v>
      </c>
      <c r="E15" s="27">
        <v>1</v>
      </c>
      <c r="F15" s="31" t="s">
        <v>190</v>
      </c>
    </row>
    <row r="16" spans="1:6" x14ac:dyDescent="0.35">
      <c r="A16" s="27" t="s">
        <v>185</v>
      </c>
      <c r="B16" s="27">
        <v>1</v>
      </c>
      <c r="C16" s="29" t="s">
        <v>451</v>
      </c>
      <c r="D16" s="27">
        <v>0</v>
      </c>
      <c r="E16" s="27">
        <v>0</v>
      </c>
      <c r="F16" s="31" t="s">
        <v>186</v>
      </c>
    </row>
    <row r="17" spans="1:6" x14ac:dyDescent="0.35">
      <c r="A17" s="27" t="s">
        <v>208</v>
      </c>
      <c r="B17" s="27">
        <v>1</v>
      </c>
      <c r="C17" s="29" t="s">
        <v>451</v>
      </c>
      <c r="D17" s="27">
        <v>0</v>
      </c>
      <c r="E17" s="27">
        <v>0</v>
      </c>
      <c r="F17" s="31" t="s">
        <v>186</v>
      </c>
    </row>
    <row r="18" spans="1:6" x14ac:dyDescent="0.35">
      <c r="A18" s="27" t="s">
        <v>163</v>
      </c>
      <c r="B18" s="27">
        <v>5</v>
      </c>
      <c r="C18" s="28" t="s">
        <v>452</v>
      </c>
      <c r="D18" s="27">
        <v>70</v>
      </c>
      <c r="E18" s="27">
        <f>70*5</f>
        <v>350</v>
      </c>
      <c r="F18" s="31" t="s">
        <v>160</v>
      </c>
    </row>
    <row r="19" spans="1:6" x14ac:dyDescent="0.35">
      <c r="A19" s="27" t="s">
        <v>207</v>
      </c>
      <c r="B19" s="27">
        <v>1</v>
      </c>
      <c r="C19" s="28" t="s">
        <v>452</v>
      </c>
      <c r="D19" s="27">
        <v>0</v>
      </c>
      <c r="E19" s="27">
        <v>0</v>
      </c>
      <c r="F19" s="31" t="s">
        <v>190</v>
      </c>
    </row>
    <row r="20" spans="1:6" x14ac:dyDescent="0.35">
      <c r="A20" s="27" t="s">
        <v>233</v>
      </c>
      <c r="B20" s="27">
        <v>1</v>
      </c>
      <c r="C20" s="29" t="s">
        <v>451</v>
      </c>
      <c r="D20" s="27">
        <v>0</v>
      </c>
      <c r="E20" s="27">
        <v>0</v>
      </c>
      <c r="F20" s="31" t="s">
        <v>186</v>
      </c>
    </row>
    <row r="21" spans="1:6" x14ac:dyDescent="0.35">
      <c r="A21" s="27" t="s">
        <v>172</v>
      </c>
      <c r="B21" s="27">
        <v>1</v>
      </c>
      <c r="C21" s="29" t="s">
        <v>451</v>
      </c>
      <c r="D21" s="27">
        <v>0</v>
      </c>
      <c r="E21" s="27">
        <v>0</v>
      </c>
      <c r="F21" s="31" t="s">
        <v>167</v>
      </c>
    </row>
    <row r="22" spans="1:6" x14ac:dyDescent="0.35">
      <c r="A22" s="27" t="s">
        <v>237</v>
      </c>
      <c r="B22" s="27">
        <v>2</v>
      </c>
      <c r="C22" s="29" t="s">
        <v>451</v>
      </c>
      <c r="D22" s="27">
        <v>0</v>
      </c>
      <c r="E22" s="27">
        <v>0</v>
      </c>
      <c r="F22" s="31" t="s">
        <v>186</v>
      </c>
    </row>
    <row r="23" spans="1:6" x14ac:dyDescent="0.35">
      <c r="A23" s="27" t="s">
        <v>265</v>
      </c>
      <c r="B23" s="27">
        <v>1</v>
      </c>
      <c r="C23" s="29" t="s">
        <v>451</v>
      </c>
      <c r="D23" s="27">
        <v>0</v>
      </c>
      <c r="E23" s="27">
        <v>0</v>
      </c>
      <c r="F23" s="31" t="s">
        <v>186</v>
      </c>
    </row>
    <row r="24" spans="1:6" x14ac:dyDescent="0.35">
      <c r="A24" s="27" t="s">
        <v>193</v>
      </c>
      <c r="B24" s="27">
        <v>2</v>
      </c>
      <c r="C24" s="29" t="s">
        <v>451</v>
      </c>
      <c r="D24" s="27">
        <v>0</v>
      </c>
      <c r="E24" s="27">
        <v>0</v>
      </c>
      <c r="F24" s="31" t="s">
        <v>186</v>
      </c>
    </row>
    <row r="25" spans="1:6" x14ac:dyDescent="0.35">
      <c r="A25" s="27" t="s">
        <v>180</v>
      </c>
      <c r="B25" s="27">
        <v>1</v>
      </c>
      <c r="C25" s="29" t="s">
        <v>451</v>
      </c>
      <c r="D25" s="27">
        <v>0</v>
      </c>
      <c r="E25" s="27">
        <v>0</v>
      </c>
      <c r="F25" s="31" t="s">
        <v>167</v>
      </c>
    </row>
    <row r="26" spans="1:6" x14ac:dyDescent="0.35">
      <c r="A26" s="27" t="s">
        <v>273</v>
      </c>
      <c r="B26" s="27">
        <v>1</v>
      </c>
      <c r="C26" s="29" t="s">
        <v>451</v>
      </c>
      <c r="D26" s="27">
        <v>0</v>
      </c>
      <c r="E26" s="27">
        <v>0</v>
      </c>
      <c r="F26" s="31" t="s">
        <v>186</v>
      </c>
    </row>
    <row r="27" spans="1:6" x14ac:dyDescent="0.35">
      <c r="A27" s="27" t="s">
        <v>248</v>
      </c>
      <c r="B27" s="27">
        <v>1</v>
      </c>
      <c r="C27" s="28" t="s">
        <v>452</v>
      </c>
      <c r="D27" s="27">
        <v>70</v>
      </c>
      <c r="E27" s="27">
        <v>70</v>
      </c>
      <c r="F27" s="31" t="s">
        <v>190</v>
      </c>
    </row>
    <row r="28" spans="1:6" x14ac:dyDescent="0.35">
      <c r="A28" s="27" t="s">
        <v>278</v>
      </c>
      <c r="B28" s="27">
        <v>1</v>
      </c>
      <c r="C28" s="29" t="s">
        <v>451</v>
      </c>
      <c r="D28" s="27">
        <v>0</v>
      </c>
      <c r="E28" s="27">
        <v>0</v>
      </c>
      <c r="F28" s="31" t="s">
        <v>186</v>
      </c>
    </row>
    <row r="29" spans="1:6" x14ac:dyDescent="0.35">
      <c r="A29" s="27" t="s">
        <v>270</v>
      </c>
      <c r="B29" s="27">
        <v>1</v>
      </c>
      <c r="C29" s="28" t="s">
        <v>452</v>
      </c>
      <c r="D29" s="27">
        <v>70</v>
      </c>
      <c r="E29" s="27">
        <v>70</v>
      </c>
      <c r="F29" s="31" t="s">
        <v>190</v>
      </c>
    </row>
    <row r="30" spans="1:6" x14ac:dyDescent="0.35">
      <c r="A30" s="27" t="s">
        <v>256</v>
      </c>
      <c r="B30" s="27">
        <v>1</v>
      </c>
      <c r="C30" s="29" t="s">
        <v>451</v>
      </c>
      <c r="D30" s="27">
        <v>0</v>
      </c>
      <c r="E30" s="27">
        <v>0</v>
      </c>
      <c r="F30" s="31" t="s">
        <v>186</v>
      </c>
    </row>
    <row r="31" spans="1:6" x14ac:dyDescent="0.35">
      <c r="A31" s="27" t="s">
        <v>227</v>
      </c>
      <c r="B31" s="27">
        <v>1</v>
      </c>
      <c r="C31" s="29" t="s">
        <v>451</v>
      </c>
      <c r="D31" s="27">
        <v>0</v>
      </c>
      <c r="E31" s="27">
        <v>0</v>
      </c>
      <c r="F31" s="31" t="s">
        <v>186</v>
      </c>
    </row>
    <row r="32" spans="1:6" x14ac:dyDescent="0.35">
      <c r="A32" s="27" t="s">
        <v>201</v>
      </c>
      <c r="B32" s="27">
        <v>1</v>
      </c>
      <c r="C32" s="29" t="s">
        <v>451</v>
      </c>
      <c r="D32" s="27">
        <v>0</v>
      </c>
      <c r="E32" s="27">
        <v>0</v>
      </c>
      <c r="F32" s="31" t="s">
        <v>186</v>
      </c>
    </row>
    <row r="33" spans="1:6" x14ac:dyDescent="0.35">
      <c r="A33" s="27" t="s">
        <v>219</v>
      </c>
      <c r="B33" s="27">
        <v>1</v>
      </c>
      <c r="C33" s="29" t="s">
        <v>451</v>
      </c>
      <c r="D33" s="27">
        <v>0</v>
      </c>
      <c r="E33" s="27">
        <v>0</v>
      </c>
      <c r="F33" s="31" t="s">
        <v>186</v>
      </c>
    </row>
    <row r="34" spans="1:6" x14ac:dyDescent="0.35">
      <c r="A34" s="27" t="s">
        <v>260</v>
      </c>
      <c r="B34" s="27">
        <v>1</v>
      </c>
      <c r="C34" s="28" t="s">
        <v>452</v>
      </c>
      <c r="D34" s="27">
        <v>1</v>
      </c>
      <c r="E34" s="27">
        <v>1</v>
      </c>
      <c r="F34" s="31" t="s">
        <v>190</v>
      </c>
    </row>
    <row r="35" spans="1:6" x14ac:dyDescent="0.35">
      <c r="A35" s="27" t="s">
        <v>194</v>
      </c>
      <c r="B35" s="27">
        <v>1</v>
      </c>
      <c r="C35" s="28" t="s">
        <v>452</v>
      </c>
      <c r="D35" s="27">
        <v>1</v>
      </c>
      <c r="E35" s="27">
        <v>1</v>
      </c>
      <c r="F35" s="31" t="s">
        <v>190</v>
      </c>
    </row>
    <row r="36" spans="1:6" x14ac:dyDescent="0.35">
      <c r="A36" s="27" t="s">
        <v>198</v>
      </c>
      <c r="B36" s="27">
        <v>1</v>
      </c>
      <c r="C36" s="29" t="s">
        <v>451</v>
      </c>
      <c r="D36" s="27">
        <v>0</v>
      </c>
      <c r="E36" s="27">
        <v>0</v>
      </c>
      <c r="F36" s="31" t="s">
        <v>186</v>
      </c>
    </row>
    <row r="37" spans="1:6" x14ac:dyDescent="0.35">
      <c r="A37" s="27" t="s">
        <v>274</v>
      </c>
      <c r="B37" s="27">
        <v>1</v>
      </c>
      <c r="C37" s="29" t="s">
        <v>451</v>
      </c>
      <c r="D37" s="27">
        <v>0</v>
      </c>
      <c r="E37" s="27">
        <v>0</v>
      </c>
      <c r="F37" s="31" t="s">
        <v>186</v>
      </c>
    </row>
    <row r="38" spans="1:6" x14ac:dyDescent="0.35">
      <c r="A38" s="27" t="s">
        <v>236</v>
      </c>
      <c r="B38" s="27">
        <v>1</v>
      </c>
      <c r="C38" s="29" t="s">
        <v>451</v>
      </c>
      <c r="D38" s="27">
        <v>0</v>
      </c>
      <c r="E38" s="27">
        <v>0</v>
      </c>
      <c r="F38" s="31" t="s">
        <v>186</v>
      </c>
    </row>
    <row r="39" spans="1:6" x14ac:dyDescent="0.35">
      <c r="A39" s="27" t="s">
        <v>243</v>
      </c>
      <c r="B39" s="27">
        <v>1</v>
      </c>
      <c r="C39" s="29" t="s">
        <v>451</v>
      </c>
      <c r="D39" s="27">
        <v>0</v>
      </c>
      <c r="E39" s="27">
        <v>0</v>
      </c>
      <c r="F39" s="31" t="s">
        <v>186</v>
      </c>
    </row>
    <row r="40" spans="1:6" x14ac:dyDescent="0.35">
      <c r="A40" s="27" t="s">
        <v>229</v>
      </c>
      <c r="B40" s="27">
        <v>1</v>
      </c>
      <c r="C40" s="29" t="s">
        <v>451</v>
      </c>
      <c r="D40" s="27">
        <v>0</v>
      </c>
      <c r="E40" s="27">
        <v>0</v>
      </c>
      <c r="F40" s="31" t="s">
        <v>186</v>
      </c>
    </row>
    <row r="41" spans="1:6" x14ac:dyDescent="0.35">
      <c r="A41" s="27" t="s">
        <v>211</v>
      </c>
      <c r="B41" s="27">
        <v>2</v>
      </c>
      <c r="C41" s="29" t="s">
        <v>451</v>
      </c>
      <c r="D41" s="27">
        <v>0</v>
      </c>
      <c r="E41" s="27">
        <v>0</v>
      </c>
      <c r="F41" s="31" t="s">
        <v>186</v>
      </c>
    </row>
    <row r="42" spans="1:6" x14ac:dyDescent="0.35">
      <c r="A42" s="27" t="s">
        <v>263</v>
      </c>
      <c r="B42" s="27">
        <v>1</v>
      </c>
      <c r="C42" s="29" t="s">
        <v>451</v>
      </c>
      <c r="D42" s="27">
        <v>0</v>
      </c>
      <c r="E42" s="27">
        <v>0</v>
      </c>
      <c r="F42" s="31" t="s">
        <v>186</v>
      </c>
    </row>
    <row r="43" spans="1:6" x14ac:dyDescent="0.35">
      <c r="A43" s="27" t="s">
        <v>176</v>
      </c>
      <c r="B43" s="27">
        <v>1</v>
      </c>
      <c r="C43" s="29" t="s">
        <v>451</v>
      </c>
      <c r="D43" s="27">
        <v>0</v>
      </c>
      <c r="E43" s="27">
        <v>0</v>
      </c>
      <c r="F43" s="31" t="s">
        <v>167</v>
      </c>
    </row>
    <row r="44" spans="1:6" x14ac:dyDescent="0.35">
      <c r="A44" s="27" t="s">
        <v>159</v>
      </c>
      <c r="B44" s="27">
        <v>3</v>
      </c>
      <c r="C44" s="28" t="s">
        <v>452</v>
      </c>
      <c r="D44" s="27">
        <v>40</v>
      </c>
      <c r="E44" s="27">
        <f>D44*B44</f>
        <v>120</v>
      </c>
      <c r="F44" s="31" t="s">
        <v>160</v>
      </c>
    </row>
    <row r="45" spans="1:6" x14ac:dyDescent="0.35">
      <c r="A45" s="27" t="s">
        <v>253</v>
      </c>
      <c r="B45" s="27">
        <v>3</v>
      </c>
      <c r="C45" s="28" t="s">
        <v>452</v>
      </c>
      <c r="D45" s="27">
        <v>1</v>
      </c>
      <c r="E45" s="27">
        <v>3</v>
      </c>
      <c r="F45" s="31" t="s">
        <v>190</v>
      </c>
    </row>
    <row r="46" spans="1:6" x14ac:dyDescent="0.35">
      <c r="A46" s="27" t="s">
        <v>239</v>
      </c>
      <c r="B46" s="27">
        <v>1</v>
      </c>
      <c r="C46" s="29" t="s">
        <v>451</v>
      </c>
      <c r="D46" s="27">
        <v>0</v>
      </c>
      <c r="E46" s="27">
        <v>0</v>
      </c>
      <c r="F46" s="31" t="s">
        <v>186</v>
      </c>
    </row>
    <row r="47" spans="1:6" x14ac:dyDescent="0.35">
      <c r="A47" s="10" t="s">
        <v>453</v>
      </c>
      <c r="B47" s="10">
        <f>SUM(B2:B46)</f>
        <v>57</v>
      </c>
      <c r="C47" s="10"/>
      <c r="D47" s="10">
        <f t="shared" ref="D47:E47" si="0">SUM(D2:D46)</f>
        <v>468</v>
      </c>
      <c r="E47" s="10">
        <f t="shared" si="0"/>
        <v>833</v>
      </c>
    </row>
  </sheetData>
  <autoFilter ref="A1:F47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topLeftCell="A24" workbookViewId="0">
      <selection activeCell="D1" sqref="D1:F46"/>
    </sheetView>
  </sheetViews>
  <sheetFormatPr baseColWidth="10" defaultRowHeight="14.5" x14ac:dyDescent="0.35"/>
  <cols>
    <col min="2" max="2" width="43" customWidth="1"/>
    <col min="3" max="3" width="43.1796875" customWidth="1"/>
    <col min="4" max="5" width="21.1796875" customWidth="1"/>
  </cols>
  <sheetData>
    <row r="1" spans="1:6" x14ac:dyDescent="0.35">
      <c r="A1" s="5" t="s">
        <v>152</v>
      </c>
      <c r="B1" s="5" t="s">
        <v>153</v>
      </c>
      <c r="C1" s="5" t="s">
        <v>154</v>
      </c>
      <c r="D1" s="5" t="s">
        <v>155</v>
      </c>
      <c r="E1" s="5"/>
      <c r="F1" s="5" t="s">
        <v>156</v>
      </c>
    </row>
    <row r="2" spans="1:6" x14ac:dyDescent="0.35">
      <c r="A2" s="6">
        <v>45678</v>
      </c>
      <c r="B2" s="7" t="s">
        <v>222</v>
      </c>
      <c r="C2" s="7" t="s">
        <v>223</v>
      </c>
      <c r="D2" s="7" t="s">
        <v>222</v>
      </c>
      <c r="E2" s="7"/>
      <c r="F2" s="7" t="s">
        <v>190</v>
      </c>
    </row>
    <row r="3" spans="1:6" x14ac:dyDescent="0.35">
      <c r="A3" s="6">
        <v>45672</v>
      </c>
      <c r="B3" s="7" t="s">
        <v>241</v>
      </c>
      <c r="C3" s="7" t="s">
        <v>242</v>
      </c>
      <c r="D3" s="7" t="s">
        <v>241</v>
      </c>
      <c r="E3" s="7"/>
      <c r="F3" s="7" t="s">
        <v>190</v>
      </c>
    </row>
    <row r="4" spans="1:6" x14ac:dyDescent="0.35">
      <c r="A4" s="6">
        <v>45685</v>
      </c>
      <c r="B4" s="7" t="s">
        <v>187</v>
      </c>
      <c r="C4" s="7" t="s">
        <v>188</v>
      </c>
      <c r="D4" s="7" t="s">
        <v>189</v>
      </c>
      <c r="E4" s="7"/>
      <c r="F4" s="7" t="s">
        <v>190</v>
      </c>
    </row>
    <row r="5" spans="1:6" x14ac:dyDescent="0.35">
      <c r="A5" s="6">
        <v>45660</v>
      </c>
      <c r="B5" s="7" t="s">
        <v>283</v>
      </c>
      <c r="C5" s="7" t="s">
        <v>255</v>
      </c>
      <c r="D5" s="7" t="s">
        <v>284</v>
      </c>
      <c r="E5" s="7"/>
      <c r="F5" s="7" t="s">
        <v>186</v>
      </c>
    </row>
    <row r="6" spans="1:6" x14ac:dyDescent="0.35">
      <c r="A6" s="6">
        <v>45679</v>
      </c>
      <c r="B6" s="7" t="s">
        <v>215</v>
      </c>
      <c r="C6" s="7" t="s">
        <v>216</v>
      </c>
      <c r="D6" s="7" t="s">
        <v>215</v>
      </c>
      <c r="E6" s="7"/>
      <c r="F6" s="7" t="s">
        <v>186</v>
      </c>
    </row>
    <row r="7" spans="1:6" x14ac:dyDescent="0.35">
      <c r="A7" s="6">
        <v>45681</v>
      </c>
      <c r="B7" s="7" t="s">
        <v>202</v>
      </c>
      <c r="C7" s="7" t="s">
        <v>203</v>
      </c>
      <c r="D7" s="7" t="s">
        <v>204</v>
      </c>
      <c r="E7" s="7"/>
      <c r="F7" s="7" t="s">
        <v>190</v>
      </c>
    </row>
    <row r="8" spans="1:6" x14ac:dyDescent="0.35">
      <c r="A8" s="6">
        <v>45687</v>
      </c>
      <c r="B8" s="7" t="s">
        <v>168</v>
      </c>
      <c r="C8" s="7" t="s">
        <v>169</v>
      </c>
      <c r="D8" s="7" t="s">
        <v>168</v>
      </c>
      <c r="E8" s="7"/>
      <c r="F8" s="7" t="s">
        <v>167</v>
      </c>
    </row>
    <row r="9" spans="1:6" x14ac:dyDescent="0.35">
      <c r="A9" s="6">
        <v>45687</v>
      </c>
      <c r="B9" s="7" t="s">
        <v>164</v>
      </c>
      <c r="C9" s="7" t="s">
        <v>165</v>
      </c>
      <c r="D9" s="7" t="s">
        <v>166</v>
      </c>
      <c r="E9" s="7"/>
      <c r="F9" s="7" t="s">
        <v>167</v>
      </c>
    </row>
    <row r="10" spans="1:6" x14ac:dyDescent="0.35">
      <c r="A10" s="6">
        <v>45680</v>
      </c>
      <c r="B10" s="7" t="s">
        <v>213</v>
      </c>
      <c r="C10" s="7" t="s">
        <v>214</v>
      </c>
      <c r="D10" s="7" t="s">
        <v>213</v>
      </c>
      <c r="E10" s="7">
        <v>2</v>
      </c>
      <c r="F10" s="7" t="s">
        <v>190</v>
      </c>
    </row>
    <row r="11" spans="1:6" x14ac:dyDescent="0.35">
      <c r="A11" s="6">
        <v>45666</v>
      </c>
      <c r="B11" s="7" t="s">
        <v>213</v>
      </c>
      <c r="C11" s="7" t="s">
        <v>214</v>
      </c>
      <c r="D11" s="7" t="s">
        <v>281</v>
      </c>
      <c r="E11" s="7"/>
      <c r="F11" s="7" t="s">
        <v>190</v>
      </c>
    </row>
    <row r="12" spans="1:6" x14ac:dyDescent="0.35">
      <c r="A12" s="6">
        <v>45663</v>
      </c>
      <c r="B12" s="7" t="s">
        <v>279</v>
      </c>
      <c r="C12" s="7" t="s">
        <v>280</v>
      </c>
      <c r="D12" s="7" t="s">
        <v>175</v>
      </c>
      <c r="E12" s="7"/>
      <c r="F12" s="7" t="s">
        <v>167</v>
      </c>
    </row>
    <row r="13" spans="1:6" x14ac:dyDescent="0.35">
      <c r="A13" s="6">
        <v>45687</v>
      </c>
      <c r="B13" s="7" t="s">
        <v>173</v>
      </c>
      <c r="C13" s="7" t="s">
        <v>174</v>
      </c>
      <c r="D13" s="7" t="s">
        <v>220</v>
      </c>
      <c r="E13" s="7"/>
      <c r="F13" s="7" t="s">
        <v>186</v>
      </c>
    </row>
    <row r="14" spans="1:6" x14ac:dyDescent="0.35">
      <c r="A14" s="6">
        <v>45679</v>
      </c>
      <c r="B14" s="7" t="s">
        <v>220</v>
      </c>
      <c r="C14" s="7" t="s">
        <v>221</v>
      </c>
      <c r="D14" s="7" t="s">
        <v>226</v>
      </c>
      <c r="E14" s="7"/>
      <c r="F14" s="7" t="s">
        <v>190</v>
      </c>
    </row>
    <row r="15" spans="1:6" x14ac:dyDescent="0.35">
      <c r="A15" s="6">
        <v>45678</v>
      </c>
      <c r="B15" s="7" t="s">
        <v>224</v>
      </c>
      <c r="C15" s="7" t="s">
        <v>225</v>
      </c>
      <c r="D15" s="7" t="s">
        <v>245</v>
      </c>
      <c r="E15" s="7"/>
      <c r="F15" s="7" t="s">
        <v>190</v>
      </c>
    </row>
    <row r="16" spans="1:6" x14ac:dyDescent="0.35">
      <c r="A16" s="6">
        <v>45672</v>
      </c>
      <c r="B16" s="7" t="s">
        <v>245</v>
      </c>
      <c r="C16" s="7" t="s">
        <v>212</v>
      </c>
      <c r="D16" s="7" t="s">
        <v>185</v>
      </c>
      <c r="E16" s="7"/>
      <c r="F16" s="7" t="s">
        <v>186</v>
      </c>
    </row>
    <row r="17" spans="1:6" x14ac:dyDescent="0.35">
      <c r="A17" s="6">
        <v>45685</v>
      </c>
      <c r="B17" s="7" t="s">
        <v>183</v>
      </c>
      <c r="C17" s="7" t="s">
        <v>184</v>
      </c>
      <c r="D17" s="7" t="s">
        <v>208</v>
      </c>
      <c r="E17" s="7"/>
      <c r="F17" s="7" t="s">
        <v>186</v>
      </c>
    </row>
    <row r="18" spans="1:6" x14ac:dyDescent="0.35">
      <c r="A18" s="6">
        <v>45681</v>
      </c>
      <c r="B18" s="7" t="s">
        <v>208</v>
      </c>
      <c r="C18" s="7" t="s">
        <v>209</v>
      </c>
      <c r="D18" s="7" t="s">
        <v>163</v>
      </c>
      <c r="E18" s="7">
        <v>5</v>
      </c>
      <c r="F18" s="7" t="s">
        <v>160</v>
      </c>
    </row>
    <row r="19" spans="1:6" x14ac:dyDescent="0.35">
      <c r="A19" s="6">
        <v>45688</v>
      </c>
      <c r="B19" s="7" t="s">
        <v>161</v>
      </c>
      <c r="C19" s="7" t="s">
        <v>162</v>
      </c>
      <c r="D19" s="7" t="s">
        <v>207</v>
      </c>
      <c r="E19" s="7"/>
      <c r="F19" s="7" t="s">
        <v>190</v>
      </c>
    </row>
    <row r="20" spans="1:6" x14ac:dyDescent="0.35">
      <c r="A20" s="6">
        <v>45680</v>
      </c>
      <c r="B20" s="7" t="s">
        <v>161</v>
      </c>
      <c r="C20" s="7" t="s">
        <v>210</v>
      </c>
      <c r="D20" s="7" t="s">
        <v>233</v>
      </c>
      <c r="E20" s="7"/>
      <c r="F20" s="7" t="s">
        <v>186</v>
      </c>
    </row>
    <row r="21" spans="1:6" x14ac:dyDescent="0.35">
      <c r="A21" s="6">
        <v>45673</v>
      </c>
      <c r="B21" s="7" t="s">
        <v>161</v>
      </c>
      <c r="C21" s="7" t="s">
        <v>210</v>
      </c>
      <c r="D21" s="7" t="s">
        <v>172</v>
      </c>
      <c r="E21" s="7"/>
      <c r="F21" s="7" t="s">
        <v>167</v>
      </c>
    </row>
    <row r="22" spans="1:6" x14ac:dyDescent="0.35">
      <c r="A22" s="6">
        <v>45665</v>
      </c>
      <c r="B22" s="7" t="s">
        <v>161</v>
      </c>
      <c r="C22" s="7" t="s">
        <v>210</v>
      </c>
      <c r="D22" s="7" t="s">
        <v>237</v>
      </c>
      <c r="E22" s="7">
        <v>2</v>
      </c>
      <c r="F22" s="7" t="s">
        <v>186</v>
      </c>
    </row>
    <row r="23" spans="1:6" x14ac:dyDescent="0.35">
      <c r="A23" s="6">
        <v>45664</v>
      </c>
      <c r="B23" s="7" t="s">
        <v>276</v>
      </c>
      <c r="C23" s="7" t="s">
        <v>277</v>
      </c>
      <c r="D23" s="7" t="s">
        <v>265</v>
      </c>
      <c r="E23" s="7"/>
      <c r="F23" s="7" t="s">
        <v>186</v>
      </c>
    </row>
    <row r="24" spans="1:6" x14ac:dyDescent="0.35">
      <c r="A24" s="6">
        <v>45681</v>
      </c>
      <c r="B24" s="7" t="s">
        <v>205</v>
      </c>
      <c r="C24" s="7" t="s">
        <v>206</v>
      </c>
      <c r="D24" s="7" t="s">
        <v>193</v>
      </c>
      <c r="E24" s="7">
        <v>2</v>
      </c>
      <c r="F24" s="7" t="s">
        <v>186</v>
      </c>
    </row>
    <row r="25" spans="1:6" x14ac:dyDescent="0.35">
      <c r="A25" s="6">
        <v>45673</v>
      </c>
      <c r="B25" s="7" t="s">
        <v>231</v>
      </c>
      <c r="C25" s="7" t="s">
        <v>232</v>
      </c>
      <c r="D25" s="7" t="s">
        <v>180</v>
      </c>
      <c r="E25" s="7"/>
      <c r="F25" s="7" t="s">
        <v>167</v>
      </c>
    </row>
    <row r="26" spans="1:6" x14ac:dyDescent="0.35">
      <c r="A26" s="6">
        <v>45687</v>
      </c>
      <c r="B26" s="7" t="s">
        <v>170</v>
      </c>
      <c r="C26" s="7" t="s">
        <v>171</v>
      </c>
      <c r="D26" s="7" t="s">
        <v>273</v>
      </c>
      <c r="E26" s="7"/>
      <c r="F26" s="7" t="s">
        <v>186</v>
      </c>
    </row>
    <row r="27" spans="1:6" x14ac:dyDescent="0.35">
      <c r="A27" s="6">
        <v>45673</v>
      </c>
      <c r="B27" s="7" t="s">
        <v>237</v>
      </c>
      <c r="C27" s="7" t="s">
        <v>238</v>
      </c>
      <c r="D27" s="7" t="s">
        <v>248</v>
      </c>
      <c r="E27" s="7"/>
      <c r="F27" s="7" t="s">
        <v>190</v>
      </c>
    </row>
    <row r="28" spans="1:6" x14ac:dyDescent="0.35">
      <c r="A28" s="6">
        <v>45666</v>
      </c>
      <c r="B28" s="7" t="s">
        <v>261</v>
      </c>
      <c r="C28" s="7" t="s">
        <v>262</v>
      </c>
      <c r="D28" s="7" t="s">
        <v>278</v>
      </c>
      <c r="E28" s="7"/>
      <c r="F28" s="7" t="s">
        <v>186</v>
      </c>
    </row>
    <row r="29" spans="1:6" x14ac:dyDescent="0.35">
      <c r="A29" s="6">
        <v>45666</v>
      </c>
      <c r="B29" s="7" t="s">
        <v>265</v>
      </c>
      <c r="C29" s="7" t="s">
        <v>266</v>
      </c>
      <c r="D29" s="7" t="s">
        <v>270</v>
      </c>
      <c r="E29" s="7"/>
      <c r="F29" s="7" t="s">
        <v>190</v>
      </c>
    </row>
    <row r="30" spans="1:6" x14ac:dyDescent="0.35">
      <c r="A30" s="6">
        <v>45684</v>
      </c>
      <c r="B30" s="7" t="s">
        <v>191</v>
      </c>
      <c r="C30" s="7" t="s">
        <v>192</v>
      </c>
      <c r="D30" s="7" t="s">
        <v>256</v>
      </c>
      <c r="E30" s="7"/>
      <c r="F30" s="7" t="s">
        <v>186</v>
      </c>
    </row>
    <row r="31" spans="1:6" x14ac:dyDescent="0.35">
      <c r="A31" s="6">
        <v>45667</v>
      </c>
      <c r="B31" s="7" t="s">
        <v>193</v>
      </c>
      <c r="C31" s="7" t="s">
        <v>232</v>
      </c>
      <c r="D31" s="7" t="s">
        <v>227</v>
      </c>
      <c r="E31" s="7"/>
      <c r="F31" s="7" t="s">
        <v>190</v>
      </c>
    </row>
    <row r="32" spans="1:6" x14ac:dyDescent="0.35">
      <c r="A32" s="6">
        <v>45686</v>
      </c>
      <c r="B32" s="7" t="s">
        <v>178</v>
      </c>
      <c r="C32" s="7" t="s">
        <v>179</v>
      </c>
      <c r="D32" s="7" t="s">
        <v>201</v>
      </c>
      <c r="E32" s="7"/>
      <c r="F32" s="7" t="s">
        <v>186</v>
      </c>
    </row>
    <row r="33" spans="1:6" x14ac:dyDescent="0.35">
      <c r="A33" s="6">
        <v>45664</v>
      </c>
      <c r="B33" s="7" t="s">
        <v>271</v>
      </c>
      <c r="C33" s="7" t="s">
        <v>272</v>
      </c>
      <c r="D33" s="7" t="s">
        <v>219</v>
      </c>
      <c r="E33" s="7"/>
      <c r="F33" s="7" t="s">
        <v>190</v>
      </c>
    </row>
    <row r="34" spans="1:6" x14ac:dyDescent="0.35">
      <c r="A34" s="6">
        <v>45672</v>
      </c>
      <c r="B34" s="7" t="s">
        <v>246</v>
      </c>
      <c r="C34" s="7" t="s">
        <v>247</v>
      </c>
      <c r="D34" s="7" t="s">
        <v>260</v>
      </c>
      <c r="E34" s="7"/>
      <c r="F34" s="7" t="s">
        <v>190</v>
      </c>
    </row>
    <row r="35" spans="1:6" x14ac:dyDescent="0.35">
      <c r="A35" s="6">
        <v>45663</v>
      </c>
      <c r="B35" s="7" t="s">
        <v>278</v>
      </c>
      <c r="C35" s="7" t="s">
        <v>230</v>
      </c>
      <c r="D35" s="7" t="s">
        <v>194</v>
      </c>
      <c r="E35" s="7"/>
      <c r="F35" s="7" t="s">
        <v>190</v>
      </c>
    </row>
    <row r="36" spans="1:6" x14ac:dyDescent="0.35">
      <c r="A36" s="6">
        <v>45665</v>
      </c>
      <c r="B36" s="7" t="s">
        <v>269</v>
      </c>
      <c r="C36" s="7" t="s">
        <v>210</v>
      </c>
      <c r="D36" s="7" t="s">
        <v>198</v>
      </c>
      <c r="E36" s="7"/>
      <c r="F36" s="7" t="s">
        <v>186</v>
      </c>
    </row>
    <row r="37" spans="1:6" x14ac:dyDescent="0.35">
      <c r="A37" s="6">
        <v>45670</v>
      </c>
      <c r="B37" s="7" t="s">
        <v>254</v>
      </c>
      <c r="C37" s="7" t="s">
        <v>255</v>
      </c>
      <c r="D37" s="7" t="s">
        <v>274</v>
      </c>
      <c r="E37" s="7"/>
      <c r="F37" s="7" t="s">
        <v>186</v>
      </c>
    </row>
    <row r="38" spans="1:6" x14ac:dyDescent="0.35">
      <c r="A38" s="6">
        <v>45674</v>
      </c>
      <c r="B38" s="7" t="s">
        <v>227</v>
      </c>
      <c r="C38" s="7" t="s">
        <v>228</v>
      </c>
      <c r="D38" s="7" t="s">
        <v>236</v>
      </c>
      <c r="E38" s="7"/>
      <c r="F38" s="7" t="s">
        <v>186</v>
      </c>
    </row>
    <row r="39" spans="1:6" x14ac:dyDescent="0.35">
      <c r="A39" s="6">
        <v>45681</v>
      </c>
      <c r="B39" s="7" t="s">
        <v>199</v>
      </c>
      <c r="C39" s="7" t="s">
        <v>200</v>
      </c>
      <c r="D39" s="7" t="s">
        <v>243</v>
      </c>
      <c r="E39" s="7"/>
      <c r="F39" s="7" t="s">
        <v>186</v>
      </c>
    </row>
    <row r="40" spans="1:6" x14ac:dyDescent="0.35">
      <c r="A40" s="6">
        <v>45679</v>
      </c>
      <c r="B40" s="7" t="s">
        <v>217</v>
      </c>
      <c r="C40" s="7" t="s">
        <v>218</v>
      </c>
      <c r="D40" s="7" t="s">
        <v>229</v>
      </c>
      <c r="E40" s="7"/>
      <c r="F40" s="7" t="s">
        <v>186</v>
      </c>
    </row>
    <row r="41" spans="1:6" x14ac:dyDescent="0.35">
      <c r="A41" s="6">
        <v>45666</v>
      </c>
      <c r="B41" s="7" t="s">
        <v>258</v>
      </c>
      <c r="C41" s="7" t="s">
        <v>259</v>
      </c>
      <c r="D41" s="7" t="s">
        <v>211</v>
      </c>
      <c r="E41" s="7">
        <v>2</v>
      </c>
      <c r="F41" s="7" t="s">
        <v>186</v>
      </c>
    </row>
    <row r="42" spans="1:6" x14ac:dyDescent="0.35">
      <c r="A42" s="6">
        <v>45684</v>
      </c>
      <c r="B42" s="7" t="s">
        <v>194</v>
      </c>
      <c r="C42" s="7" t="s">
        <v>195</v>
      </c>
      <c r="D42" s="7" t="s">
        <v>263</v>
      </c>
      <c r="E42" s="7"/>
      <c r="F42" s="7" t="s">
        <v>186</v>
      </c>
    </row>
    <row r="43" spans="1:6" x14ac:dyDescent="0.35">
      <c r="A43" s="6">
        <v>45681</v>
      </c>
      <c r="B43" s="7" t="s">
        <v>196</v>
      </c>
      <c r="C43" s="7" t="s">
        <v>197</v>
      </c>
      <c r="D43" s="7" t="s">
        <v>176</v>
      </c>
      <c r="E43" s="7"/>
      <c r="F43" s="7" t="s">
        <v>167</v>
      </c>
    </row>
    <row r="44" spans="1:6" x14ac:dyDescent="0.35">
      <c r="A44" s="6">
        <v>45664</v>
      </c>
      <c r="B44" s="7" t="s">
        <v>274</v>
      </c>
      <c r="C44" s="7" t="s">
        <v>275</v>
      </c>
      <c r="D44" s="7" t="s">
        <v>159</v>
      </c>
      <c r="E44" s="7">
        <v>3</v>
      </c>
      <c r="F44" s="7" t="s">
        <v>160</v>
      </c>
    </row>
    <row r="45" spans="1:6" x14ac:dyDescent="0.35">
      <c r="A45" s="6">
        <v>45673</v>
      </c>
      <c r="B45" s="7" t="s">
        <v>234</v>
      </c>
      <c r="C45" s="7" t="s">
        <v>235</v>
      </c>
      <c r="D45" s="7" t="s">
        <v>253</v>
      </c>
      <c r="E45" s="7">
        <v>3</v>
      </c>
      <c r="F45" s="7" t="s">
        <v>190</v>
      </c>
    </row>
    <row r="46" spans="1:6" x14ac:dyDescent="0.35">
      <c r="A46" s="6">
        <v>45672</v>
      </c>
      <c r="B46" s="7" t="s">
        <v>243</v>
      </c>
      <c r="C46" s="7" t="s">
        <v>244</v>
      </c>
      <c r="D46" s="7" t="s">
        <v>239</v>
      </c>
      <c r="E46" s="7"/>
      <c r="F46" s="7" t="s">
        <v>190</v>
      </c>
    </row>
    <row r="47" spans="1:6" x14ac:dyDescent="0.35">
      <c r="A47" s="6">
        <v>45674</v>
      </c>
      <c r="B47" s="7" t="s">
        <v>229</v>
      </c>
      <c r="C47" s="7" t="s">
        <v>230</v>
      </c>
    </row>
    <row r="48" spans="1:6" x14ac:dyDescent="0.35">
      <c r="A48" s="6">
        <v>45680</v>
      </c>
      <c r="B48" s="7" t="s">
        <v>211</v>
      </c>
      <c r="C48" s="7" t="s">
        <v>212</v>
      </c>
    </row>
    <row r="49" spans="1:6" x14ac:dyDescent="0.35">
      <c r="A49" s="6">
        <v>45665</v>
      </c>
      <c r="B49" s="7" t="s">
        <v>267</v>
      </c>
      <c r="C49" s="7" t="s">
        <v>268</v>
      </c>
      <c r="D49" s="7"/>
      <c r="E49" s="7"/>
      <c r="F49" s="7"/>
    </row>
    <row r="50" spans="1:6" x14ac:dyDescent="0.35">
      <c r="A50" s="6">
        <v>45666</v>
      </c>
      <c r="B50" s="7" t="s">
        <v>263</v>
      </c>
      <c r="C50" s="7" t="s">
        <v>264</v>
      </c>
      <c r="D50" s="7"/>
      <c r="E50" s="7"/>
      <c r="F50" s="7"/>
    </row>
    <row r="51" spans="1:6" x14ac:dyDescent="0.35">
      <c r="A51" s="6">
        <v>45686</v>
      </c>
      <c r="B51" s="7" t="s">
        <v>176</v>
      </c>
      <c r="C51" s="7" t="s">
        <v>177</v>
      </c>
    </row>
    <row r="52" spans="1:6" x14ac:dyDescent="0.35">
      <c r="A52" s="6">
        <v>45688</v>
      </c>
      <c r="B52" s="7" t="s">
        <v>157</v>
      </c>
      <c r="C52" s="7" t="s">
        <v>158</v>
      </c>
    </row>
    <row r="53" spans="1:6" x14ac:dyDescent="0.35">
      <c r="A53" s="6">
        <v>45686</v>
      </c>
      <c r="B53" s="7" t="s">
        <v>181</v>
      </c>
      <c r="C53" s="7" t="s">
        <v>182</v>
      </c>
    </row>
    <row r="54" spans="1:6" x14ac:dyDescent="0.35">
      <c r="A54" s="6">
        <v>45670</v>
      </c>
      <c r="B54" s="7" t="s">
        <v>249</v>
      </c>
      <c r="C54" s="7" t="s">
        <v>250</v>
      </c>
    </row>
    <row r="55" spans="1:6" x14ac:dyDescent="0.35">
      <c r="A55" s="6">
        <v>45670</v>
      </c>
      <c r="B55" s="7" t="s">
        <v>251</v>
      </c>
      <c r="C55" s="7" t="s">
        <v>252</v>
      </c>
    </row>
    <row r="56" spans="1:6" x14ac:dyDescent="0.35">
      <c r="A56" s="6">
        <v>45667</v>
      </c>
      <c r="B56" s="7" t="s">
        <v>257</v>
      </c>
      <c r="C56" s="7" t="s">
        <v>252</v>
      </c>
    </row>
    <row r="57" spans="1:6" x14ac:dyDescent="0.35">
      <c r="A57" s="6">
        <v>45663</v>
      </c>
      <c r="B57" s="7" t="s">
        <v>282</v>
      </c>
      <c r="C57" s="7" t="s">
        <v>252</v>
      </c>
    </row>
    <row r="58" spans="1:6" x14ac:dyDescent="0.35">
      <c r="A58" s="6">
        <v>45672</v>
      </c>
      <c r="B58" s="7" t="s">
        <v>239</v>
      </c>
      <c r="C58" s="7" t="s">
        <v>240</v>
      </c>
    </row>
  </sheetData>
  <sortState xmlns:xlrd2="http://schemas.microsoft.com/office/spreadsheetml/2017/richdata2" ref="A2:E58">
    <sortCondition ref="D1"/>
  </sortState>
  <conditionalFormatting sqref="D59:E1048576 D1:E46 D49:E50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Tickets_012025</vt:lpstr>
      <vt:lpstr>Feuil3</vt:lpstr>
      <vt:lpstr>Disponibilité de service</vt:lpstr>
      <vt:lpstr>Rétablissement-disponibilité</vt:lpstr>
      <vt:lpstr>Nbrdemandes par typologie</vt:lpstr>
      <vt:lpstr>Nbrdemandes par Catégories</vt:lpstr>
      <vt:lpstr>Stat VUL 11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Ahlam RECHDAOUI</dc:creator>
  <cp:lastModifiedBy>HP</cp:lastModifiedBy>
  <dcterms:created xsi:type="dcterms:W3CDTF">2025-02-10T10:12:10Z</dcterms:created>
  <dcterms:modified xsi:type="dcterms:W3CDTF">2026-04-29T15:52:14Z</dcterms:modified>
</cp:coreProperties>
</file>